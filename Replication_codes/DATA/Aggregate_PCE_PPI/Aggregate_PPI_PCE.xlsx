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ei\Documents\MATLAB\00 On Going 2022\05 network DSGE\IO and Model (FEB 2023)\Replication codes (Mar 24 2023)\v72 Aug 10 Dynare 61\DATA\Aggregate_PCE_PPI\"/>
    </mc:Choice>
  </mc:AlternateContent>
  <xr:revisionPtr revIDLastSave="0" documentId="13_ncr:1_{0278B604-A882-4BDC-A3AE-2C1FCAEF6370}" xr6:coauthVersionLast="47" xr6:coauthVersionMax="47" xr10:uidLastSave="{00000000-0000-0000-0000-000000000000}"/>
  <bookViews>
    <workbookView xWindow="-28908" yWindow="3120" windowWidth="29016" windowHeight="16416" xr2:uid="{471C2F70-5C9E-468B-8C7B-C5E40992ECA1}"/>
  </bookViews>
  <sheets>
    <sheet name="stdpi_over_stdpic" sheetId="4" r:id="rId1"/>
    <sheet name="Inflation STDEV" sheetId="3" r:id="rId2"/>
    <sheet name="DATA Sour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3" l="1"/>
  <c r="I63" i="3"/>
  <c r="O62" i="3"/>
  <c r="P62" i="3"/>
  <c r="M62" i="3"/>
  <c r="D63" i="3" s="1"/>
  <c r="N62" i="3"/>
  <c r="C62" i="3"/>
  <c r="C63" i="3" s="1"/>
  <c r="D62" i="3"/>
  <c r="E62" i="3"/>
  <c r="F62" i="3"/>
  <c r="G62" i="3"/>
  <c r="H62" i="3"/>
  <c r="I62" i="3"/>
  <c r="J62" i="3"/>
  <c r="J63" i="3" l="1"/>
  <c r="G63" i="3"/>
  <c r="F63" i="3"/>
  <c r="E63" i="3"/>
</calcChain>
</file>

<file path=xl/sharedStrings.xml><?xml version="1.0" encoding="utf-8"?>
<sst xmlns="http://schemas.openxmlformats.org/spreadsheetml/2006/main" count="142" uniqueCount="57">
  <si>
    <t>PPI</t>
    <phoneticPr fontId="2"/>
  </si>
  <si>
    <t>Series Id:</t>
  </si>
  <si>
    <t>2005 to 2019</t>
  </si>
  <si>
    <t>BLS Data Series</t>
    <phoneticPr fontId="2"/>
  </si>
  <si>
    <t>PCE</t>
    <phoneticPr fontId="2"/>
  </si>
  <si>
    <t>Treatment</t>
    <phoneticPr fontId="2"/>
  </si>
  <si>
    <t>Seasonally adjustment</t>
    <phoneticPr fontId="2"/>
  </si>
  <si>
    <t>Eviews X13</t>
    <phoneticPr fontId="2"/>
  </si>
  <si>
    <t>Quarterlize</t>
    <phoneticPr fontId="2"/>
  </si>
  <si>
    <t>Bureau of Economic Analysis</t>
  </si>
  <si>
    <t>PPI ID stage1</t>
  </si>
  <si>
    <t>PPI ID stage 2</t>
  </si>
  <si>
    <t>PPI ID stage 3</t>
  </si>
  <si>
    <t>PPI ID stage 4</t>
  </si>
  <si>
    <t>PPI FD</t>
  </si>
  <si>
    <t>PPI FD Goods</t>
  </si>
  <si>
    <t>PPI FD Service</t>
  </si>
  <si>
    <t>WPUID51</t>
  </si>
  <si>
    <t>WPUID52</t>
  </si>
  <si>
    <t>WPUID53</t>
  </si>
  <si>
    <t>WPSID54</t>
  </si>
  <si>
    <t>WPUFD4</t>
  </si>
  <si>
    <t>WPUFD41</t>
  </si>
  <si>
    <t>WPUFD42</t>
  </si>
  <si>
    <t>2009 to 2019</t>
    <phoneticPr fontId="2"/>
  </si>
  <si>
    <t>Q1</t>
    <phoneticPr fontId="5"/>
  </si>
  <si>
    <t>Q2</t>
    <phoneticPr fontId="5"/>
  </si>
  <si>
    <t>Q3</t>
    <phoneticPr fontId="5"/>
  </si>
  <si>
    <t>Q4</t>
    <phoneticPr fontId="5"/>
  </si>
  <si>
    <t>WPU00000000</t>
    <phoneticPr fontId="2"/>
  </si>
  <si>
    <t>WPU00000000</t>
    <phoneticPr fontId="2"/>
  </si>
  <si>
    <t>PPI All commotdity</t>
    <phoneticPr fontId="2"/>
  </si>
  <si>
    <t>PCE</t>
    <phoneticPr fontId="2"/>
  </si>
  <si>
    <t>Goods</t>
  </si>
  <si>
    <t>Services</t>
  </si>
  <si>
    <t>STDEV</t>
    <phoneticPr fontId="2"/>
  </si>
  <si>
    <t>not seasonally adjusted</t>
    <phoneticPr fontId="2"/>
  </si>
  <si>
    <t>seasonally adjusted</t>
    <phoneticPr fontId="2"/>
  </si>
  <si>
    <t>2010 to 2019</t>
  </si>
  <si>
    <t>2011 to 2019</t>
  </si>
  <si>
    <t>2012 to 2019</t>
  </si>
  <si>
    <t>2013 to 2019</t>
  </si>
  <si>
    <t>2014 to 2019</t>
  </si>
  <si>
    <t>2015 to 2019</t>
  </si>
  <si>
    <t>PCEPI_PCH</t>
    <phoneticPr fontId="2"/>
  </si>
  <si>
    <t>PCEPILFE_PCH</t>
    <phoneticPr fontId="2"/>
  </si>
  <si>
    <t>Table 2.8.4. Price Indexes for Personal Consumption Expenditures by Major Type of Product, Monthly</t>
    <phoneticPr fontId="2"/>
  </si>
  <si>
    <t>[Index numbers, 2017=100; seasonally adjusted]</t>
    <phoneticPr fontId="2"/>
  </si>
  <si>
    <t xml:space="preserve">        Personal consumption expenditures (PCE)</t>
  </si>
  <si>
    <t xml:space="preserve">    PCE excluding food and energy4</t>
    <phoneticPr fontId="2"/>
  </si>
  <si>
    <t>2010Q2:2019Q4</t>
    <phoneticPr fontId="2"/>
  </si>
  <si>
    <t>STDEV(PCE)/STDEV(PPI)</t>
    <phoneticPr fontId="2"/>
  </si>
  <si>
    <t>PPI All commotdity</t>
  </si>
  <si>
    <t>WPU00000000</t>
  </si>
  <si>
    <t>code</t>
    <phoneticPr fontId="2"/>
  </si>
  <si>
    <t>PPI stage</t>
    <phoneticPr fontId="2"/>
  </si>
  <si>
    <t>std(pi)/std(pic)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</si>
</sst>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6"/>
      <name val="游ゴシック"/>
      <family val="3"/>
      <charset val="128"/>
      <scheme val="minor"/>
    </font>
    <font>
      <sz val="11"/>
      <name val="Calibri"/>
      <family val="2"/>
    </font>
    <font>
      <sz val="11"/>
      <color theme="0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3F50-F477-4296-A0E5-0FB8E5324262}">
  <dimension ref="A1:C9"/>
  <sheetViews>
    <sheetView tabSelected="1" workbookViewId="0">
      <selection activeCell="L16" sqref="L16"/>
    </sheetView>
  </sheetViews>
  <sheetFormatPr defaultRowHeight="14.4" x14ac:dyDescent="0.45"/>
  <cols>
    <col min="1" max="2" width="13.59765625" style="1" customWidth="1"/>
    <col min="3" max="3" width="12.69921875" style="1" customWidth="1"/>
    <col min="4" max="16384" width="8.796875" style="1"/>
  </cols>
  <sheetData>
    <row r="1" spans="1:3" x14ac:dyDescent="0.45">
      <c r="A1" s="1" t="s">
        <v>55</v>
      </c>
      <c r="B1" s="1" t="s">
        <v>54</v>
      </c>
      <c r="C1" s="1" t="s">
        <v>56</v>
      </c>
    </row>
    <row r="2" spans="1:3" x14ac:dyDescent="0.45">
      <c r="A2" s="1" t="s">
        <v>10</v>
      </c>
      <c r="B2" s="1" t="s">
        <v>17</v>
      </c>
      <c r="C2" s="1">
        <v>0.14406926663652636</v>
      </c>
    </row>
    <row r="3" spans="1:3" x14ac:dyDescent="0.45">
      <c r="A3" s="1" t="s">
        <v>11</v>
      </c>
      <c r="B3" s="1" t="s">
        <v>18</v>
      </c>
      <c r="C3" s="1">
        <v>0.11644987800407312</v>
      </c>
    </row>
    <row r="4" spans="1:3" x14ac:dyDescent="0.45">
      <c r="A4" s="1" t="s">
        <v>12</v>
      </c>
      <c r="B4" s="1" t="s">
        <v>19</v>
      </c>
      <c r="C4" s="1">
        <v>0.19223781856113917</v>
      </c>
    </row>
    <row r="5" spans="1:3" x14ac:dyDescent="0.45">
      <c r="A5" s="1" t="s">
        <v>13</v>
      </c>
      <c r="B5" s="1" t="s">
        <v>20</v>
      </c>
      <c r="C5" s="1">
        <v>0.45450788765154893</v>
      </c>
    </row>
    <row r="6" spans="1:3" x14ac:dyDescent="0.45">
      <c r="A6" s="1" t="s">
        <v>14</v>
      </c>
      <c r="B6" s="1" t="s">
        <v>21</v>
      </c>
      <c r="C6" s="1">
        <v>0.57389780026713655</v>
      </c>
    </row>
    <row r="7" spans="1:3" x14ac:dyDescent="0.45">
      <c r="A7" s="1" t="s">
        <v>15</v>
      </c>
      <c r="B7" s="1" t="s">
        <v>22</v>
      </c>
      <c r="C7" s="1">
        <v>0.24794659407480749</v>
      </c>
    </row>
    <row r="8" spans="1:3" x14ac:dyDescent="0.45">
      <c r="A8" s="1" t="s">
        <v>16</v>
      </c>
      <c r="B8" s="1" t="s">
        <v>23</v>
      </c>
      <c r="C8" s="1">
        <v>0.91178445889449866</v>
      </c>
    </row>
    <row r="9" spans="1:3" x14ac:dyDescent="0.45">
      <c r="A9" s="1" t="s">
        <v>52</v>
      </c>
      <c r="B9" s="1" t="s">
        <v>53</v>
      </c>
      <c r="C9" s="1">
        <v>0.17959671839306246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A884-83E2-456E-BC65-491D56BC5376}">
  <dimension ref="A1:P63"/>
  <sheetViews>
    <sheetView zoomScaleNormal="100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B72" sqref="B72"/>
    </sheetView>
  </sheetViews>
  <sheetFormatPr defaultRowHeight="14.4" x14ac:dyDescent="0.45"/>
  <cols>
    <col min="1" max="1" width="13.3984375" style="3" customWidth="1"/>
    <col min="2" max="2" width="12.69921875" style="9" customWidth="1"/>
    <col min="3" max="9" width="11.59765625" style="3" customWidth="1"/>
    <col min="10" max="10" width="14.69921875" style="3" customWidth="1"/>
    <col min="11" max="11" width="4.3984375" style="3" customWidth="1"/>
    <col min="12" max="16" width="11.69921875" style="3" customWidth="1"/>
    <col min="17" max="17" width="8.796875" style="3"/>
    <col min="18" max="18" width="12.59765625" style="3" bestFit="1" customWidth="1"/>
    <col min="19" max="16384" width="8.796875" style="3"/>
  </cols>
  <sheetData>
    <row r="1" spans="1:16" x14ac:dyDescent="0.45"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31</v>
      </c>
      <c r="M1" s="3" t="s">
        <v>32</v>
      </c>
    </row>
    <row r="2" spans="1:16" x14ac:dyDescent="0.45"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30</v>
      </c>
      <c r="M2" s="3" t="s">
        <v>44</v>
      </c>
      <c r="N2" s="3" t="s">
        <v>45</v>
      </c>
      <c r="O2" s="3" t="s">
        <v>33</v>
      </c>
      <c r="P2" s="3" t="s">
        <v>34</v>
      </c>
    </row>
    <row r="3" spans="1:16" x14ac:dyDescent="0.45">
      <c r="A3" s="3">
        <v>2010</v>
      </c>
      <c r="B3" s="9" t="s">
        <v>25</v>
      </c>
      <c r="C3" s="7"/>
      <c r="D3" s="7"/>
      <c r="E3" s="7"/>
      <c r="F3" s="7"/>
      <c r="G3" s="7"/>
      <c r="H3" s="7"/>
      <c r="I3" s="7"/>
      <c r="J3" s="7">
        <v>1.8221660681690566</v>
      </c>
      <c r="K3" s="4"/>
      <c r="L3" s="4"/>
      <c r="M3" s="7">
        <v>0.38665771144643668</v>
      </c>
      <c r="N3" s="7">
        <v>0.34208420879473367</v>
      </c>
      <c r="O3" s="7">
        <v>0.14484923415525447</v>
      </c>
      <c r="P3" s="7">
        <v>0.50054245015136245</v>
      </c>
    </row>
    <row r="4" spans="1:16" x14ac:dyDescent="0.45">
      <c r="B4" s="9" t="s">
        <v>26</v>
      </c>
      <c r="C4" s="6">
        <v>1.3994910941475847</v>
      </c>
      <c r="D4" s="6">
        <v>-1.8892090938200601</v>
      </c>
      <c r="E4" s="6">
        <v>1.2020792722546978</v>
      </c>
      <c r="F4" s="6">
        <v>0.59405940594057438</v>
      </c>
      <c r="G4" s="6">
        <v>0.36267721727663138</v>
      </c>
      <c r="H4" s="6">
        <v>0.3273322422258686</v>
      </c>
      <c r="I4" s="6">
        <v>0.43032108573319061</v>
      </c>
      <c r="J4" s="6">
        <v>0.46226167475568691</v>
      </c>
      <c r="M4" s="6">
        <v>0.15488058669803234</v>
      </c>
      <c r="N4" s="8">
        <v>0.26938109414179917</v>
      </c>
      <c r="O4" s="6">
        <v>-0.58749544897890416</v>
      </c>
      <c r="P4" s="6">
        <v>0.50974080381604947</v>
      </c>
    </row>
    <row r="5" spans="1:16" x14ac:dyDescent="0.45">
      <c r="B5" s="9" t="s">
        <v>27</v>
      </c>
      <c r="C5" s="6">
        <v>-0.87829360100376774</v>
      </c>
      <c r="D5" s="6">
        <v>0.16318537859008297</v>
      </c>
      <c r="E5" s="6">
        <v>0.70626003210272958</v>
      </c>
      <c r="F5" s="6">
        <v>0.45931758530186717</v>
      </c>
      <c r="G5" s="6">
        <v>0.36136662286465926</v>
      </c>
      <c r="H5" s="6">
        <v>0.35889070146819663</v>
      </c>
      <c r="I5" s="6">
        <v>0.2966381015161475</v>
      </c>
      <c r="J5" s="6">
        <v>0.91526289003844552</v>
      </c>
      <c r="M5" s="6">
        <v>0.19265547148919623</v>
      </c>
      <c r="N5" s="6">
        <v>0.15383700708990114</v>
      </c>
      <c r="O5" s="6">
        <v>-2.630220905262837E-2</v>
      </c>
      <c r="P5" s="6">
        <v>0.29661624836666667</v>
      </c>
    </row>
    <row r="6" spans="1:16" x14ac:dyDescent="0.45">
      <c r="B6" s="9" t="s">
        <v>28</v>
      </c>
      <c r="C6" s="6">
        <v>2.9113924050633146</v>
      </c>
      <c r="D6" s="6">
        <v>3.0303030303030249</v>
      </c>
      <c r="E6" s="6">
        <v>1.3069811922218753</v>
      </c>
      <c r="F6" s="6">
        <v>1.1103853690398358</v>
      </c>
      <c r="G6" s="6">
        <v>0.9492635024549938</v>
      </c>
      <c r="H6" s="6">
        <v>2.2431729518855485</v>
      </c>
      <c r="I6" s="6">
        <v>0.23003614853764229</v>
      </c>
      <c r="J6" s="6">
        <v>2.8947081580408343</v>
      </c>
      <c r="M6" s="6">
        <v>0.64058171745154091</v>
      </c>
      <c r="N6" s="6">
        <v>0.31610581382405495</v>
      </c>
      <c r="O6" s="6">
        <v>1.1179714662510629</v>
      </c>
      <c r="P6" s="6">
        <v>0.41364806667850845</v>
      </c>
    </row>
    <row r="7" spans="1:16" x14ac:dyDescent="0.45">
      <c r="A7" s="3">
        <v>2011</v>
      </c>
      <c r="B7" s="9" t="s">
        <v>25</v>
      </c>
      <c r="C7" s="6">
        <v>4.5817958179581675</v>
      </c>
      <c r="D7" s="6">
        <v>4.7754585705249966</v>
      </c>
      <c r="E7" s="6">
        <v>3.1466331025802345</v>
      </c>
      <c r="F7" s="6">
        <v>1.9702842377260963</v>
      </c>
      <c r="G7" s="6">
        <v>1.4915693904020735</v>
      </c>
      <c r="H7" s="6">
        <v>2.8616852146263914</v>
      </c>
      <c r="I7" s="6">
        <v>0.68852459016393719</v>
      </c>
      <c r="J7" s="6">
        <v>3.2163872490781009</v>
      </c>
      <c r="M7" s="6">
        <v>0.83964408460858764</v>
      </c>
      <c r="N7" s="6">
        <v>0.43900851388033468</v>
      </c>
      <c r="O7" s="6">
        <v>1.559448413051268</v>
      </c>
      <c r="P7" s="6">
        <v>0.49510287051867063</v>
      </c>
    </row>
    <row r="8" spans="1:16" x14ac:dyDescent="0.45">
      <c r="B8" s="9" t="s">
        <v>26</v>
      </c>
      <c r="C8" s="6">
        <v>3.0873272566892087</v>
      </c>
      <c r="D8" s="6">
        <v>4.3766978569272519</v>
      </c>
      <c r="E8" s="6">
        <v>2.684563758389265</v>
      </c>
      <c r="F8" s="6">
        <v>1.8055115616091144</v>
      </c>
      <c r="G8" s="6">
        <v>1.3418530351437892</v>
      </c>
      <c r="H8" s="6">
        <v>2.1638330757341664</v>
      </c>
      <c r="I8" s="6">
        <v>0.91175512862258834</v>
      </c>
      <c r="J8" s="6">
        <v>3.2435101039969516</v>
      </c>
      <c r="M8" s="6">
        <v>0.98328523983231431</v>
      </c>
      <c r="N8" s="6">
        <v>0.58475010034286234</v>
      </c>
      <c r="O8" s="6">
        <v>1.6833783012504409</v>
      </c>
      <c r="P8" s="6">
        <v>0.64283798797075753</v>
      </c>
    </row>
    <row r="9" spans="1:16" x14ac:dyDescent="0.45">
      <c r="B9" s="9" t="s">
        <v>27</v>
      </c>
      <c r="C9" s="6">
        <v>0.51340559041641187</v>
      </c>
      <c r="D9" s="6">
        <v>-1.3591671486408294</v>
      </c>
      <c r="E9" s="6">
        <v>0.62388591800355497</v>
      </c>
      <c r="F9" s="6">
        <v>0.4978220286247782</v>
      </c>
      <c r="G9" s="6">
        <v>0.59899117276164393</v>
      </c>
      <c r="H9" s="6">
        <v>0.45385779122541603</v>
      </c>
      <c r="I9" s="6">
        <v>0.61310100032269121</v>
      </c>
      <c r="J9" s="6">
        <v>0.57218561301102799</v>
      </c>
      <c r="M9" s="6">
        <v>0.46223410755749728</v>
      </c>
      <c r="N9" s="6">
        <v>0.45651401941006708</v>
      </c>
      <c r="O9" s="6">
        <v>0.34283818994193932</v>
      </c>
      <c r="P9" s="6">
        <v>0.52225284346115408</v>
      </c>
    </row>
    <row r="10" spans="1:16" x14ac:dyDescent="0.45">
      <c r="B10" s="9" t="s">
        <v>28</v>
      </c>
      <c r="C10" s="6">
        <v>-2.2417707150964752</v>
      </c>
      <c r="D10" s="6">
        <v>-1.2899442978598543</v>
      </c>
      <c r="E10" s="6">
        <v>-0.56096840862119202</v>
      </c>
      <c r="F10" s="6">
        <v>-0.18575851393190437</v>
      </c>
      <c r="G10" s="6">
        <v>9.4014415543711372E-2</v>
      </c>
      <c r="H10" s="6">
        <v>0.15060240963854565</v>
      </c>
      <c r="I10" s="6">
        <v>6.4143681847334391E-2</v>
      </c>
      <c r="J10" s="6">
        <v>-0.44028736406396923</v>
      </c>
      <c r="M10" s="6">
        <v>0.33023255813953045</v>
      </c>
      <c r="N10" s="6">
        <v>0.35640879870555098</v>
      </c>
      <c r="O10" s="6">
        <v>0.22343421245001319</v>
      </c>
      <c r="P10" s="6">
        <v>0.38321720690699812</v>
      </c>
    </row>
    <row r="11" spans="1:16" x14ac:dyDescent="0.45">
      <c r="A11" s="3">
        <v>2012</v>
      </c>
      <c r="B11" s="9" t="s">
        <v>25</v>
      </c>
      <c r="C11" s="6">
        <v>0.69666182873729798</v>
      </c>
      <c r="D11" s="6">
        <v>-0.26730026730027739</v>
      </c>
      <c r="E11" s="6">
        <v>0.32660332541567105</v>
      </c>
      <c r="F11" s="6">
        <v>0.65136476426800605</v>
      </c>
      <c r="G11" s="6">
        <v>0.65748278021291529</v>
      </c>
      <c r="H11" s="6">
        <v>0.66165413533835959</v>
      </c>
      <c r="I11" s="6">
        <v>0.73717948717948634</v>
      </c>
      <c r="J11" s="6">
        <v>-5.2207295277044659E-2</v>
      </c>
      <c r="M11" s="6">
        <v>0.6629270780214106</v>
      </c>
      <c r="N11" s="6">
        <v>0.63112331234431218</v>
      </c>
      <c r="O11" s="6">
        <v>0.62028877042657415</v>
      </c>
      <c r="P11" s="6">
        <v>0.68240459915803797</v>
      </c>
    </row>
    <row r="12" spans="1:16" x14ac:dyDescent="0.45">
      <c r="B12" s="9" t="s">
        <v>26</v>
      </c>
      <c r="C12" s="6">
        <v>-0.63418852695301331</v>
      </c>
      <c r="D12" s="6">
        <v>-2.8886241810601554</v>
      </c>
      <c r="E12" s="6">
        <v>-0.59189109203906898</v>
      </c>
      <c r="F12" s="6">
        <v>0</v>
      </c>
      <c r="G12" s="6">
        <v>0.34214618973562139</v>
      </c>
      <c r="H12" s="6">
        <v>-0.47804003585300092</v>
      </c>
      <c r="I12" s="6">
        <v>0.66815144766145906</v>
      </c>
      <c r="J12" s="6">
        <v>-0.89186524383412857</v>
      </c>
      <c r="M12" s="6">
        <v>0.24160236926194451</v>
      </c>
      <c r="N12" s="6">
        <v>0.4135392609699669</v>
      </c>
      <c r="O12" s="6">
        <v>-0.32178459657163677</v>
      </c>
      <c r="P12" s="6">
        <v>0.51929367068687171</v>
      </c>
    </row>
    <row r="13" spans="1:16" x14ac:dyDescent="0.45">
      <c r="B13" s="9" t="s">
        <v>27</v>
      </c>
      <c r="C13" s="6">
        <v>-1.450536698578466</v>
      </c>
      <c r="D13" s="6">
        <v>1.3492793621588486</v>
      </c>
      <c r="E13" s="6">
        <v>0.35724918130397731</v>
      </c>
      <c r="F13" s="6">
        <v>0.46224961479198762</v>
      </c>
      <c r="G13" s="6">
        <v>9.2994420334761393E-2</v>
      </c>
      <c r="H13" s="6">
        <v>0.60042029420593557</v>
      </c>
      <c r="I13" s="6">
        <v>-9.4816687737022856E-2</v>
      </c>
      <c r="J13" s="6">
        <v>0.51638124145767939</v>
      </c>
      <c r="M13" s="6">
        <v>0.29049631755276389</v>
      </c>
      <c r="N13" s="6">
        <v>0.28893217281306449</v>
      </c>
      <c r="O13" s="6">
        <v>-1.3279708605233708E-2</v>
      </c>
      <c r="P13" s="6">
        <v>0.43908202782841199</v>
      </c>
    </row>
    <row r="14" spans="1:16" x14ac:dyDescent="0.45">
      <c r="B14" s="9" t="s">
        <v>28</v>
      </c>
      <c r="C14" s="6">
        <v>1.4718869590815593</v>
      </c>
      <c r="D14" s="6">
        <v>1.6944024205748933</v>
      </c>
      <c r="E14" s="6">
        <v>1.2755858795609518</v>
      </c>
      <c r="F14" s="6">
        <v>0.73619631901838922</v>
      </c>
      <c r="G14" s="6">
        <v>0.68132548776712465</v>
      </c>
      <c r="H14" s="6">
        <v>0.65652044165919432</v>
      </c>
      <c r="I14" s="6">
        <v>0.72761784245490491</v>
      </c>
      <c r="J14" s="6">
        <v>1.0590474300691002</v>
      </c>
      <c r="M14" s="6">
        <v>0.56063371695574715</v>
      </c>
      <c r="N14" s="6">
        <v>0.44218296484752739</v>
      </c>
      <c r="O14" s="6">
        <v>0.44872402997816596</v>
      </c>
      <c r="P14" s="6">
        <v>0.61455105486798667</v>
      </c>
    </row>
    <row r="15" spans="1:16" x14ac:dyDescent="0.45">
      <c r="A15" s="3">
        <v>2013</v>
      </c>
      <c r="B15" s="9" t="s">
        <v>25</v>
      </c>
      <c r="C15" s="6">
        <v>0.52219321148823328</v>
      </c>
      <c r="D15" s="6">
        <v>0.53555489437665582</v>
      </c>
      <c r="E15" s="6">
        <v>0.32220269478618124</v>
      </c>
      <c r="F15" s="6">
        <v>0.33495736906212631</v>
      </c>
      <c r="G15" s="6">
        <v>0.43063672716086221</v>
      </c>
      <c r="H15" s="6">
        <v>0.47435517343613393</v>
      </c>
      <c r="I15" s="6">
        <v>0.34547738693468055</v>
      </c>
      <c r="J15" s="6">
        <v>0.23488259900320491</v>
      </c>
      <c r="M15" s="6">
        <v>0.35041366332955554</v>
      </c>
      <c r="N15" s="6">
        <v>0.39064729722017072</v>
      </c>
      <c r="O15" s="6">
        <v>-0.12025852434604754</v>
      </c>
      <c r="P15" s="6">
        <v>0.58239678962528885</v>
      </c>
    </row>
    <row r="16" spans="1:16" x14ac:dyDescent="0.45">
      <c r="B16" s="9" t="s">
        <v>26</v>
      </c>
      <c r="C16" s="6">
        <v>-1.0101010101010142</v>
      </c>
      <c r="D16" s="6">
        <v>0.38472920982539555</v>
      </c>
      <c r="E16" s="6">
        <v>-0.23357664233575312</v>
      </c>
      <c r="F16" s="6">
        <v>-0.21244309559940683</v>
      </c>
      <c r="G16" s="6">
        <v>-6.1255742725877069E-2</v>
      </c>
      <c r="H16" s="6">
        <v>-0.67866627323695472</v>
      </c>
      <c r="I16" s="6">
        <v>0.25039123630672838</v>
      </c>
      <c r="J16" s="6">
        <v>-0.63798210186446447</v>
      </c>
      <c r="M16" s="6">
        <v>5.1680127943224387E-2</v>
      </c>
      <c r="N16" s="6">
        <v>0.28216162815076407</v>
      </c>
      <c r="O16" s="6">
        <v>-0.91626295832846849</v>
      </c>
      <c r="P16" s="6">
        <v>0.53025302530254514</v>
      </c>
    </row>
    <row r="17" spans="1:16" x14ac:dyDescent="0.45">
      <c r="B17" s="9" t="s">
        <v>27</v>
      </c>
      <c r="C17" s="6">
        <v>0.14577259475219073</v>
      </c>
      <c r="D17" s="6">
        <v>0.6485849056603783</v>
      </c>
      <c r="E17" s="6">
        <v>-0.1755926251097728</v>
      </c>
      <c r="F17" s="6">
        <v>0.24330900243311515</v>
      </c>
      <c r="G17" s="6">
        <v>0.45969966288691388</v>
      </c>
      <c r="H17" s="6">
        <v>0.20796197266784319</v>
      </c>
      <c r="I17" s="6">
        <v>0.6244146113019089</v>
      </c>
      <c r="J17" s="6">
        <v>3.111915225104624E-2</v>
      </c>
      <c r="M17" s="6">
        <v>0.41078439926708699</v>
      </c>
      <c r="N17" s="6">
        <v>0.39334781514779377</v>
      </c>
      <c r="O17" s="6">
        <v>0.1192899860033083</v>
      </c>
      <c r="P17" s="6">
        <v>0.55371955089622249</v>
      </c>
    </row>
    <row r="18" spans="1:16" x14ac:dyDescent="0.45">
      <c r="B18" s="9" t="s">
        <v>28</v>
      </c>
      <c r="C18" s="6">
        <v>0.46579330422126264</v>
      </c>
      <c r="D18" s="6">
        <v>-1.991798476859975</v>
      </c>
      <c r="E18" s="6">
        <v>0.64497214892994592</v>
      </c>
      <c r="F18" s="6">
        <v>0.3640776699029048</v>
      </c>
      <c r="G18" s="6">
        <v>0.36607687614399542</v>
      </c>
      <c r="H18" s="6">
        <v>0.32611918173733256</v>
      </c>
      <c r="I18" s="6">
        <v>0.37232392181196849</v>
      </c>
      <c r="J18" s="6">
        <v>8.547885299749565E-2</v>
      </c>
      <c r="M18" s="6">
        <v>0.3687843671576716</v>
      </c>
      <c r="N18" s="6">
        <v>0.43098731746576352</v>
      </c>
      <c r="O18" s="6">
        <v>-0.16267653740449228</v>
      </c>
      <c r="P18" s="6">
        <v>0.62830112020431683</v>
      </c>
    </row>
    <row r="19" spans="1:16" x14ac:dyDescent="0.45">
      <c r="A19" s="3">
        <v>2014</v>
      </c>
      <c r="B19" s="9" t="s">
        <v>25</v>
      </c>
      <c r="C19" s="6">
        <v>1.7386264850767892</v>
      </c>
      <c r="D19" s="6">
        <v>3.0185295875672256</v>
      </c>
      <c r="E19" s="6">
        <v>1.7477424992717741</v>
      </c>
      <c r="F19" s="6">
        <v>0.54413542926240199</v>
      </c>
      <c r="G19" s="6">
        <v>0.63829787234041513</v>
      </c>
      <c r="H19" s="6">
        <v>1.2411347517730547</v>
      </c>
      <c r="I19" s="6">
        <v>0.34003091190108897</v>
      </c>
      <c r="J19" s="6">
        <v>1.6989355935149693</v>
      </c>
      <c r="M19" s="6">
        <v>0.45920010527665317</v>
      </c>
      <c r="N19" s="6">
        <v>0.31596631567108607</v>
      </c>
      <c r="O19" s="6">
        <v>0.14798407500405872</v>
      </c>
      <c r="P19" s="6">
        <v>0.6106793176541695</v>
      </c>
    </row>
    <row r="20" spans="1:16" x14ac:dyDescent="0.45">
      <c r="B20" s="9" t="s">
        <v>26</v>
      </c>
      <c r="C20" s="6">
        <v>-0.51267445172317516</v>
      </c>
      <c r="D20" s="6">
        <v>-2.9010733971555468E-2</v>
      </c>
      <c r="E20" s="6">
        <v>0.71571714858287594</v>
      </c>
      <c r="F20" s="6">
        <v>0.33072760072158147</v>
      </c>
      <c r="G20" s="6">
        <v>0.48323769254004212</v>
      </c>
      <c r="H20" s="6">
        <v>0.46701692936368777</v>
      </c>
      <c r="I20" s="6">
        <v>0.49291435613062051</v>
      </c>
      <c r="J20" s="6">
        <v>0.27306551537246954</v>
      </c>
      <c r="M20" s="6">
        <v>0.44744888637626051</v>
      </c>
      <c r="N20" s="6">
        <v>0.43654505768629948</v>
      </c>
      <c r="O20" s="6">
        <v>0.10073469595281456</v>
      </c>
      <c r="P20" s="6">
        <v>0.61736357447419388</v>
      </c>
    </row>
    <row r="21" spans="1:16" x14ac:dyDescent="0.45">
      <c r="B21" s="9" t="s">
        <v>27</v>
      </c>
      <c r="C21" s="6">
        <v>0.31491554537647376</v>
      </c>
      <c r="D21" s="6">
        <v>-2.3215322112594476</v>
      </c>
      <c r="E21" s="6">
        <v>0.14212620807277265</v>
      </c>
      <c r="F21" s="6">
        <v>0.23973629008091016</v>
      </c>
      <c r="G21" s="6">
        <v>0.30057108506159996</v>
      </c>
      <c r="H21" s="6">
        <v>-0.29052876234748065</v>
      </c>
      <c r="I21" s="6">
        <v>0.55180870631513879</v>
      </c>
      <c r="J21" s="6">
        <v>-0.71461628737146798</v>
      </c>
      <c r="M21" s="6">
        <v>0.27317622268666486</v>
      </c>
      <c r="N21" s="6">
        <v>0.37569461643916291</v>
      </c>
      <c r="O21" s="6">
        <v>-0.20094919128267663</v>
      </c>
      <c r="P21" s="6">
        <v>0.50638681257634488</v>
      </c>
    </row>
    <row r="22" spans="1:16" x14ac:dyDescent="0.45">
      <c r="B22" s="9" t="s">
        <v>28</v>
      </c>
      <c r="C22" s="6">
        <v>-2.2831050228310543</v>
      </c>
      <c r="D22" s="6">
        <v>-4.6939988116458577</v>
      </c>
      <c r="E22" s="6">
        <v>-0.79477717854101948</v>
      </c>
      <c r="F22" s="6">
        <v>-0.32884902840059199</v>
      </c>
      <c r="G22" s="6">
        <v>-0.14983518130057363</v>
      </c>
      <c r="H22" s="6">
        <v>-1.4277389277389336</v>
      </c>
      <c r="I22" s="6">
        <v>0.51829268292682584</v>
      </c>
      <c r="J22" s="6">
        <v>-2.0364189009850837</v>
      </c>
      <c r="M22" s="6">
        <v>-0.13279348901202506</v>
      </c>
      <c r="N22" s="6">
        <v>0.27107240413419226</v>
      </c>
      <c r="O22" s="6">
        <v>-1.2513837110175243</v>
      </c>
      <c r="P22" s="6">
        <v>0.41454816022107782</v>
      </c>
    </row>
    <row r="23" spans="1:16" x14ac:dyDescent="0.45">
      <c r="A23" s="3">
        <v>2015</v>
      </c>
      <c r="B23" s="9" t="s">
        <v>25</v>
      </c>
      <c r="C23" s="6">
        <v>-5.0525700934579305</v>
      </c>
      <c r="D23" s="6">
        <v>-6.6708229426433983</v>
      </c>
      <c r="E23" s="6">
        <v>-4.6351931330472027</v>
      </c>
      <c r="F23" s="6">
        <v>-0.95980803839231799</v>
      </c>
      <c r="G23" s="6">
        <v>-1.1104441776710694</v>
      </c>
      <c r="H23" s="6">
        <v>-2.9263966893289957</v>
      </c>
      <c r="I23" s="6">
        <v>-0.15165301789504751</v>
      </c>
      <c r="J23" s="6">
        <v>-4.281186883448755</v>
      </c>
      <c r="M23" s="6">
        <v>-0.44825990849741121</v>
      </c>
      <c r="N23" s="6">
        <v>0.16705600188547962</v>
      </c>
      <c r="O23" s="6">
        <v>-2.0648245382330668</v>
      </c>
      <c r="P23" s="6">
        <v>0.33450362555355417</v>
      </c>
    </row>
    <row r="24" spans="1:16" x14ac:dyDescent="0.45">
      <c r="B24" s="9" t="s">
        <v>26</v>
      </c>
      <c r="C24" s="6">
        <v>-0.33835742848355049</v>
      </c>
      <c r="D24" s="6">
        <v>0.50100200400801598</v>
      </c>
      <c r="E24" s="6">
        <v>0.45004500450044999</v>
      </c>
      <c r="F24" s="6">
        <v>0.18170805572378049</v>
      </c>
      <c r="G24" s="6">
        <v>0.12139605462821769</v>
      </c>
      <c r="H24" s="6">
        <v>0.21315468940318075</v>
      </c>
      <c r="I24" s="6">
        <v>9.1130012150663103E-2</v>
      </c>
      <c r="J24" s="6">
        <v>-0.44847679988327904</v>
      </c>
      <c r="M24" s="6">
        <v>0.49916175250529127</v>
      </c>
      <c r="N24" s="6">
        <v>0.44566240380887517</v>
      </c>
      <c r="O24" s="6">
        <v>0.52100464430905447</v>
      </c>
      <c r="P24" s="6">
        <v>0.48882902589386151</v>
      </c>
    </row>
    <row r="25" spans="1:16" x14ac:dyDescent="0.45">
      <c r="B25" s="9" t="s">
        <v>27</v>
      </c>
      <c r="C25" s="6">
        <v>-0.83333333333332549</v>
      </c>
      <c r="D25" s="6">
        <v>-1.2628780325689446</v>
      </c>
      <c r="E25" s="6">
        <v>-0.56750298685784417</v>
      </c>
      <c r="F25" s="6">
        <v>-6.0459492140249704E-2</v>
      </c>
      <c r="G25" s="6">
        <v>0.24249772658383831</v>
      </c>
      <c r="H25" s="6">
        <v>-0.18231540565178014</v>
      </c>
      <c r="I25" s="6">
        <v>0.42488619119878779</v>
      </c>
      <c r="J25" s="6">
        <v>-0.88468046235023245</v>
      </c>
      <c r="M25" s="6">
        <v>0.25930252074931714</v>
      </c>
      <c r="N25" s="6">
        <v>0.32174056824758585</v>
      </c>
      <c r="O25" s="6">
        <v>-0.25391673101839107</v>
      </c>
      <c r="P25" s="6">
        <v>0.50499924757561299</v>
      </c>
    </row>
    <row r="26" spans="1:16" x14ac:dyDescent="0.45">
      <c r="B26" s="9" t="s">
        <v>28</v>
      </c>
      <c r="C26" s="6">
        <v>-3.1123560535325461</v>
      </c>
      <c r="D26" s="6">
        <v>-2.3897677549646659</v>
      </c>
      <c r="E26" s="6">
        <v>-2.5833583658756454</v>
      </c>
      <c r="F26" s="6">
        <v>-0.81669691470054961</v>
      </c>
      <c r="G26" s="6">
        <v>-0.54429996976113337</v>
      </c>
      <c r="H26" s="6">
        <v>-1.5525114155251167</v>
      </c>
      <c r="I26" s="6">
        <v>-9.0661831368988505E-2</v>
      </c>
      <c r="J26" s="6">
        <v>-2.0074592072873689</v>
      </c>
      <c r="M26" s="6">
        <v>-7.6188784190978354E-2</v>
      </c>
      <c r="N26" s="6">
        <v>0.24928750472135883</v>
      </c>
      <c r="O26" s="6">
        <v>-1.0228450707921619</v>
      </c>
      <c r="P26" s="6">
        <v>0.37467007444653855</v>
      </c>
    </row>
    <row r="27" spans="1:16" x14ac:dyDescent="0.45">
      <c r="A27" s="3">
        <v>2016</v>
      </c>
      <c r="B27" s="9" t="s">
        <v>25</v>
      </c>
      <c r="C27" s="6">
        <v>-1.5419209765499329</v>
      </c>
      <c r="D27" s="6">
        <v>-1.2758620689655182</v>
      </c>
      <c r="E27" s="6">
        <v>-1.3567684242984779</v>
      </c>
      <c r="F27" s="6">
        <v>-0.21347971942665533</v>
      </c>
      <c r="G27" s="6">
        <v>0.15202189115233025</v>
      </c>
      <c r="H27" s="6">
        <v>-1.2677798392084176</v>
      </c>
      <c r="I27" s="6">
        <v>0.93768905021173443</v>
      </c>
      <c r="J27" s="6">
        <v>-1.7574507538775219</v>
      </c>
      <c r="M27" s="6">
        <v>4.8893736473008355E-2</v>
      </c>
      <c r="N27" s="6">
        <v>0.41889873816601486</v>
      </c>
      <c r="O27" s="6">
        <v>-1.0483298974539268</v>
      </c>
      <c r="P27" s="6">
        <v>0.56545781268429751</v>
      </c>
    </row>
    <row r="28" spans="1:16" x14ac:dyDescent="0.45">
      <c r="B28" s="9" t="s">
        <v>26</v>
      </c>
      <c r="C28" s="6">
        <v>1.8597063621533496</v>
      </c>
      <c r="D28" s="6">
        <v>2.3402025847013634</v>
      </c>
      <c r="E28" s="6">
        <v>0.31259768677711341</v>
      </c>
      <c r="F28" s="6">
        <v>0.36674816625918694</v>
      </c>
      <c r="G28" s="6">
        <v>0.36429872495446786</v>
      </c>
      <c r="H28" s="6">
        <v>0.87691825869090334</v>
      </c>
      <c r="I28" s="6">
        <v>8.9901108780336525E-2</v>
      </c>
      <c r="J28" s="6">
        <v>0.64387280770448641</v>
      </c>
      <c r="M28" s="6">
        <v>0.63462445405893064</v>
      </c>
      <c r="N28" s="6">
        <v>0.5484703883975478</v>
      </c>
      <c r="O28" s="6">
        <v>0.4438043241613735</v>
      </c>
      <c r="P28" s="6">
        <v>0.72440771045767594</v>
      </c>
    </row>
    <row r="29" spans="1:16" x14ac:dyDescent="0.45">
      <c r="B29" s="9" t="s">
        <v>27</v>
      </c>
      <c r="C29" s="6">
        <v>0.76873798846892738</v>
      </c>
      <c r="D29" s="6">
        <v>1.8430034129692658</v>
      </c>
      <c r="E29" s="6">
        <v>0.59208476160799706</v>
      </c>
      <c r="F29" s="6">
        <v>0.51766138855054455</v>
      </c>
      <c r="G29" s="6">
        <v>0.24198427102236977</v>
      </c>
      <c r="H29" s="6">
        <v>0.52778640173857372</v>
      </c>
      <c r="I29" s="6">
        <v>0.17964071856288957</v>
      </c>
      <c r="J29" s="6">
        <v>0.8843266707814067</v>
      </c>
      <c r="M29" s="6">
        <v>0.34502548638064962</v>
      </c>
      <c r="N29" s="6">
        <v>0.4338725927534105</v>
      </c>
      <c r="O29" s="6">
        <v>-0.39415766306523153</v>
      </c>
      <c r="P29" s="6">
        <v>0.69008739965479982</v>
      </c>
    </row>
    <row r="30" spans="1:16" x14ac:dyDescent="0.45">
      <c r="B30" s="9" t="s">
        <v>28</v>
      </c>
      <c r="C30" s="6">
        <v>0.95359186268277174</v>
      </c>
      <c r="D30" s="6">
        <v>1.3404825737265513</v>
      </c>
      <c r="E30" s="6">
        <v>0.37174721189590282</v>
      </c>
      <c r="F30" s="6">
        <v>0.42411390487729872</v>
      </c>
      <c r="G30" s="6">
        <v>0.60350030175015523</v>
      </c>
      <c r="H30" s="6">
        <v>0.7411982705373793</v>
      </c>
      <c r="I30" s="6">
        <v>0.44829647340105039</v>
      </c>
      <c r="J30" s="6">
        <v>1.0059560602379396</v>
      </c>
      <c r="M30" s="6">
        <v>0.45788816428474538</v>
      </c>
      <c r="N30" s="6">
        <v>0.34451777644172837</v>
      </c>
      <c r="O30" s="6">
        <v>0.23234169629526039</v>
      </c>
      <c r="P30" s="6">
        <v>0.56291176740690851</v>
      </c>
    </row>
    <row r="31" spans="1:16" x14ac:dyDescent="0.45">
      <c r="A31" s="3">
        <v>2017</v>
      </c>
      <c r="B31" s="9" t="s">
        <v>25</v>
      </c>
      <c r="C31" s="6">
        <v>2.8022670025188798</v>
      </c>
      <c r="D31" s="6">
        <v>1.8849206349206407</v>
      </c>
      <c r="E31" s="6">
        <v>2.6234567901234525</v>
      </c>
      <c r="F31" s="6">
        <v>1.1161387631975876</v>
      </c>
      <c r="G31" s="6">
        <v>0.74985002999399697</v>
      </c>
      <c r="H31" s="6">
        <v>1.6247700797057012</v>
      </c>
      <c r="I31" s="6">
        <v>0.35703659625113354</v>
      </c>
      <c r="J31" s="6">
        <v>2.311578501968218</v>
      </c>
      <c r="M31" s="6">
        <v>0.58347931545613296</v>
      </c>
      <c r="N31" s="6">
        <v>0.46417535663075116</v>
      </c>
      <c r="O31" s="6">
        <v>0.53475042753314306</v>
      </c>
      <c r="P31" s="6">
        <v>0.60643572728315465</v>
      </c>
    </row>
    <row r="32" spans="1:16" x14ac:dyDescent="0.45">
      <c r="B32" s="9" t="s">
        <v>26</v>
      </c>
      <c r="C32" s="6">
        <v>0.64318529862176144</v>
      </c>
      <c r="D32" s="6">
        <v>3.2456994482309091E-2</v>
      </c>
      <c r="E32" s="6">
        <v>0.39097744360902598</v>
      </c>
      <c r="F32" s="6">
        <v>0.77565632458234568</v>
      </c>
      <c r="G32" s="6">
        <v>0.53587377195594688</v>
      </c>
      <c r="H32" s="6">
        <v>6.0331825037703957E-2</v>
      </c>
      <c r="I32" s="6">
        <v>0.77082715683367331</v>
      </c>
      <c r="J32" s="6">
        <v>5.4803783113685674E-3</v>
      </c>
      <c r="M32" s="6">
        <v>0.20129148078185466</v>
      </c>
      <c r="N32" s="6">
        <v>0.33437756520865247</v>
      </c>
      <c r="O32" s="6">
        <v>-0.6172901030921093</v>
      </c>
      <c r="P32" s="6">
        <v>0.58193676354409241</v>
      </c>
    </row>
    <row r="33" spans="1:16" x14ac:dyDescent="0.45">
      <c r="B33" s="9" t="s">
        <v>27</v>
      </c>
      <c r="C33" s="6">
        <v>0.94339622641509258</v>
      </c>
      <c r="D33" s="6">
        <v>0.2595717066839705</v>
      </c>
      <c r="E33" s="6">
        <v>0.53924505692031921</v>
      </c>
      <c r="F33" s="6">
        <v>0.47365304914148948</v>
      </c>
      <c r="G33" s="6">
        <v>0.47379330766954014</v>
      </c>
      <c r="H33" s="6">
        <v>0.45221585770274347</v>
      </c>
      <c r="I33" s="6">
        <v>0.47072668431891562</v>
      </c>
      <c r="J33" s="6">
        <v>0.555472993261384</v>
      </c>
      <c r="M33" s="6">
        <v>0.35330728374552589</v>
      </c>
      <c r="N33" s="6">
        <v>0.30220761830341114</v>
      </c>
      <c r="O33" s="6">
        <v>3.2426830695164388E-2</v>
      </c>
      <c r="P33" s="6">
        <v>0.50236307848626893</v>
      </c>
    </row>
    <row r="34" spans="1:16" x14ac:dyDescent="0.45">
      <c r="B34" s="9" t="s">
        <v>28</v>
      </c>
      <c r="C34" s="6">
        <v>1.7787157069641255</v>
      </c>
      <c r="D34" s="6">
        <v>2.0064724919093813</v>
      </c>
      <c r="E34" s="6">
        <v>1.7580452920142917</v>
      </c>
      <c r="F34" s="6">
        <v>1.0606953447259897</v>
      </c>
      <c r="G34" s="6">
        <v>0.9725906277630364</v>
      </c>
      <c r="H34" s="6">
        <v>1.5606242496998937</v>
      </c>
      <c r="I34" s="6">
        <v>0.67349926793556503</v>
      </c>
      <c r="J34" s="6">
        <v>1.5690587205005158</v>
      </c>
      <c r="M34" s="6">
        <v>0.59854111847585323</v>
      </c>
      <c r="N34" s="6">
        <v>0.44478772705481701</v>
      </c>
      <c r="O34" s="6">
        <v>0.47020372152713208</v>
      </c>
      <c r="P34" s="6">
        <v>0.65915281237425172</v>
      </c>
    </row>
    <row r="35" spans="1:16" x14ac:dyDescent="0.45">
      <c r="A35" s="3">
        <v>2018</v>
      </c>
      <c r="B35" s="9" t="s">
        <v>25</v>
      </c>
      <c r="C35" s="6">
        <v>2.0142180094786593</v>
      </c>
      <c r="D35" s="6">
        <v>1.7131979695431583</v>
      </c>
      <c r="E35" s="6">
        <v>1.3762811127379178</v>
      </c>
      <c r="F35" s="6">
        <v>1.0204081632653104</v>
      </c>
      <c r="G35" s="6">
        <v>0.75890251021598953</v>
      </c>
      <c r="H35" s="6">
        <v>1.0638297872340323</v>
      </c>
      <c r="I35" s="6">
        <v>0.63990692262944904</v>
      </c>
      <c r="J35" s="6">
        <v>1.5990631571665821</v>
      </c>
      <c r="M35" s="6">
        <v>0.69927523036017891</v>
      </c>
      <c r="N35" s="6">
        <v>0.6363853313180996</v>
      </c>
      <c r="O35" s="6">
        <v>0.53386287208244676</v>
      </c>
      <c r="P35" s="6">
        <v>0.77642060190769413</v>
      </c>
    </row>
    <row r="36" spans="1:16" x14ac:dyDescent="0.45">
      <c r="B36" s="9" t="s">
        <v>26</v>
      </c>
      <c r="C36" s="6">
        <v>1.3356562137049925</v>
      </c>
      <c r="D36" s="6">
        <v>1.2164691203992486</v>
      </c>
      <c r="E36" s="6">
        <v>1.0976314269208665</v>
      </c>
      <c r="F36" s="6">
        <v>0.9812409812409747</v>
      </c>
      <c r="G36" s="6">
        <v>0.72421784472769002</v>
      </c>
      <c r="H36" s="6">
        <v>0.67251461988302763</v>
      </c>
      <c r="I36" s="6">
        <v>0.63583815028901813</v>
      </c>
      <c r="J36" s="6">
        <v>1.2106127341217203</v>
      </c>
      <c r="M36" s="6">
        <v>0.52508885739743338</v>
      </c>
      <c r="N36" s="6">
        <v>0.53684820699287694</v>
      </c>
      <c r="O36" s="6">
        <v>0.26237079975120126</v>
      </c>
      <c r="P36" s="6">
        <v>0.64815209444594801</v>
      </c>
    </row>
    <row r="37" spans="1:16" x14ac:dyDescent="0.45">
      <c r="B37" s="9" t="s">
        <v>27</v>
      </c>
      <c r="C37" s="6">
        <v>1.0601719197707744</v>
      </c>
      <c r="D37" s="6">
        <v>1.1402157164868907</v>
      </c>
      <c r="E37" s="6">
        <v>0.71428571428571019</v>
      </c>
      <c r="F37" s="6">
        <v>0.74306944841383904</v>
      </c>
      <c r="G37" s="6">
        <v>0.54644808743171203</v>
      </c>
      <c r="H37" s="6">
        <v>0.58088875980251442</v>
      </c>
      <c r="I37" s="6">
        <v>0.57438253877082546</v>
      </c>
      <c r="J37" s="6">
        <v>0.64563379056649073</v>
      </c>
      <c r="M37" s="6">
        <v>0.3359107203600728</v>
      </c>
      <c r="N37" s="6">
        <v>0.31875094183859498</v>
      </c>
      <c r="O37" s="6">
        <v>-0.17126621501663586</v>
      </c>
      <c r="P37" s="6">
        <v>0.57101349194455908</v>
      </c>
    </row>
    <row r="38" spans="1:16" x14ac:dyDescent="0.45">
      <c r="B38" s="9" t="s">
        <v>28</v>
      </c>
      <c r="C38" s="6">
        <v>0.51034873830451533</v>
      </c>
      <c r="D38" s="6">
        <v>0.21328458257160354</v>
      </c>
      <c r="E38" s="6">
        <v>0.48226950354609605</v>
      </c>
      <c r="F38" s="6">
        <v>0.59574468085106624</v>
      </c>
      <c r="G38" s="6">
        <v>0.77231121281463788</v>
      </c>
      <c r="H38" s="6">
        <v>0.37539705457695965</v>
      </c>
      <c r="I38" s="6">
        <v>0.94231867504282785</v>
      </c>
      <c r="J38" s="6">
        <v>-2.8186065870406101E-2</v>
      </c>
      <c r="M38" s="6">
        <v>0.3791200372926134</v>
      </c>
      <c r="N38" s="6">
        <v>0.46697384619905447</v>
      </c>
      <c r="O38" s="6">
        <v>-0.19370748186885167</v>
      </c>
      <c r="P38" s="6">
        <v>0.64388455422009483</v>
      </c>
    </row>
    <row r="39" spans="1:16" x14ac:dyDescent="0.45">
      <c r="A39" s="3">
        <v>2019</v>
      </c>
      <c r="B39" s="9" t="s">
        <v>25</v>
      </c>
      <c r="C39" s="6">
        <v>-2.2566995768688329</v>
      </c>
      <c r="D39" s="6">
        <v>-2.5539677713590732</v>
      </c>
      <c r="E39" s="6">
        <v>-1.2422360248447102</v>
      </c>
      <c r="F39" s="6">
        <v>-2.8200789622107817E-2</v>
      </c>
      <c r="G39" s="6">
        <v>-0.14192449616805472</v>
      </c>
      <c r="H39" s="6">
        <v>-0.94936708860760222</v>
      </c>
      <c r="I39" s="6">
        <v>0.25459688826025217</v>
      </c>
      <c r="J39" s="6">
        <v>-1.4531504889790112</v>
      </c>
      <c r="M39" s="6">
        <v>0.22927586498055749</v>
      </c>
      <c r="N39" s="6">
        <v>0.399470839278807</v>
      </c>
      <c r="O39" s="6">
        <v>-0.40273968973146068</v>
      </c>
      <c r="P39" s="6">
        <v>0.51940696211288162</v>
      </c>
    </row>
    <row r="40" spans="1:16" x14ac:dyDescent="0.45">
      <c r="B40" s="9" t="s">
        <v>26</v>
      </c>
      <c r="C40" s="6">
        <v>-0.40404040404041802</v>
      </c>
      <c r="D40" s="6">
        <v>-0.49921996879875019</v>
      </c>
      <c r="E40" s="6">
        <v>1.1435105774728254</v>
      </c>
      <c r="F40" s="6">
        <v>0.67700987306063432</v>
      </c>
      <c r="G40" s="6">
        <v>0.82433200682207175</v>
      </c>
      <c r="H40" s="6">
        <v>0.81324426372348801</v>
      </c>
      <c r="I40" s="6">
        <v>0.8182844243792462</v>
      </c>
      <c r="J40" s="6">
        <v>0.32743623375993625</v>
      </c>
      <c r="M40" s="6">
        <v>0.52943311127813353</v>
      </c>
      <c r="N40" s="6">
        <v>0.43867316744689111</v>
      </c>
      <c r="O40" s="6">
        <v>0.4216603040742668</v>
      </c>
      <c r="P40" s="6">
        <v>0.57947258390347345</v>
      </c>
    </row>
    <row r="41" spans="1:16" x14ac:dyDescent="0.45">
      <c r="B41" s="9" t="s">
        <v>27</v>
      </c>
      <c r="C41" s="6">
        <v>-0.86931324253837017</v>
      </c>
      <c r="D41" s="6">
        <v>-0.84666039510816293</v>
      </c>
      <c r="E41" s="6">
        <v>-0.81967213114754256</v>
      </c>
      <c r="F41" s="6">
        <v>0.25217147660408845</v>
      </c>
      <c r="G41" s="6">
        <v>0.19734987313221319</v>
      </c>
      <c r="H41" s="6">
        <v>-0.28810141169691328</v>
      </c>
      <c r="I41" s="6">
        <v>0.44780296669464081</v>
      </c>
      <c r="J41" s="6">
        <v>-0.98486103223256949</v>
      </c>
      <c r="M41" s="6">
        <v>0.24398419420757089</v>
      </c>
      <c r="N41" s="6">
        <v>0.37551451935754754</v>
      </c>
      <c r="O41" s="6">
        <v>-0.31988449719190692</v>
      </c>
      <c r="P41" s="6">
        <v>0.50801653918506939</v>
      </c>
    </row>
    <row r="42" spans="1:16" x14ac:dyDescent="0.45">
      <c r="B42" s="9" t="s">
        <v>28</v>
      </c>
      <c r="C42" s="6">
        <v>-0.2338497515346506</v>
      </c>
      <c r="D42" s="6">
        <v>0.18975332068310113</v>
      </c>
      <c r="E42" s="6">
        <v>0.34197777144486097</v>
      </c>
      <c r="F42" s="6">
        <v>5.5897149245397224E-2</v>
      </c>
      <c r="G42" s="6">
        <v>0.28137310073157812</v>
      </c>
      <c r="H42" s="6">
        <v>0.66454781854955136</v>
      </c>
      <c r="I42" s="6">
        <v>0</v>
      </c>
      <c r="J42" s="6">
        <v>0.29300420268230459</v>
      </c>
      <c r="M42" s="6">
        <v>0.39128939017371206</v>
      </c>
      <c r="N42" s="6">
        <v>0.31694957707944715</v>
      </c>
      <c r="O42" s="6">
        <v>0.12989256456425183</v>
      </c>
      <c r="P42" s="6">
        <v>0.51558308710123413</v>
      </c>
    </row>
    <row r="43" spans="1:16" x14ac:dyDescent="0.45">
      <c r="A43" s="3">
        <v>2020</v>
      </c>
      <c r="B43" s="9" t="s">
        <v>25</v>
      </c>
      <c r="C43" s="6">
        <v>-1.0254907705830565</v>
      </c>
      <c r="D43" s="6">
        <v>-2.4305555555555518</v>
      </c>
      <c r="E43" s="6">
        <v>-1.363249076966766</v>
      </c>
      <c r="F43" s="6">
        <v>-8.3798882681559481E-2</v>
      </c>
      <c r="G43" s="6">
        <v>-0.14029180695847759</v>
      </c>
      <c r="H43" s="6">
        <v>-0.88978185993109982</v>
      </c>
      <c r="I43" s="6">
        <v>0.19504040122598093</v>
      </c>
      <c r="J43" s="6">
        <v>-1.284248470732464</v>
      </c>
      <c r="M43" s="6">
        <v>0.32250832692800574</v>
      </c>
      <c r="N43" s="6">
        <v>0.42638599456452775</v>
      </c>
      <c r="O43" s="6">
        <v>-0.29063498435680579</v>
      </c>
      <c r="P43" s="6">
        <v>0.61155623891336897</v>
      </c>
    </row>
    <row r="44" spans="1:16" x14ac:dyDescent="0.45">
      <c r="B44" s="9" t="s">
        <v>26</v>
      </c>
      <c r="C44" s="6">
        <v>-5.6542332741267085</v>
      </c>
      <c r="D44" s="6">
        <v>-5.3380782918149459</v>
      </c>
      <c r="E44" s="6">
        <v>-5.8162971494385145</v>
      </c>
      <c r="F44" s="6">
        <v>-1.8171652222532888</v>
      </c>
      <c r="G44" s="6">
        <v>-1.2924978926664659</v>
      </c>
      <c r="H44" s="6">
        <v>-3.1566753547639665</v>
      </c>
      <c r="I44" s="6">
        <v>-0.36151279199111619</v>
      </c>
      <c r="J44" s="6">
        <v>-4.6081251423011143</v>
      </c>
      <c r="M44" s="6">
        <v>-0.43480065252022304</v>
      </c>
      <c r="N44" s="6">
        <v>-0.19029404733446068</v>
      </c>
      <c r="O44" s="6">
        <v>-1.4737150329581212</v>
      </c>
      <c r="P44" s="6">
        <v>7.2026255135799744E-2</v>
      </c>
    </row>
    <row r="45" spans="1:16" x14ac:dyDescent="0.45">
      <c r="B45" s="9" t="s">
        <v>27</v>
      </c>
      <c r="C45" s="6">
        <v>4.1104486978349346</v>
      </c>
      <c r="D45" s="6">
        <v>4.1353383458646444</v>
      </c>
      <c r="E45" s="6">
        <v>3.6074594925099133</v>
      </c>
      <c r="F45" s="6">
        <v>2.0785876993166323</v>
      </c>
      <c r="G45" s="6">
        <v>1.1386279533162498</v>
      </c>
      <c r="H45" s="6">
        <v>1.8241626794258226</v>
      </c>
      <c r="I45" s="6">
        <v>0.83728718950600056</v>
      </c>
      <c r="J45" s="6">
        <v>3.0246551678857743</v>
      </c>
      <c r="M45" s="6">
        <v>0.82498356766115055</v>
      </c>
      <c r="N45" s="6">
        <v>0.767737155412482</v>
      </c>
      <c r="O45" s="6">
        <v>1.0060654364682631</v>
      </c>
      <c r="P45" s="6">
        <v>0.73820714862404857</v>
      </c>
    </row>
    <row r="46" spans="1:16" x14ac:dyDescent="0.45">
      <c r="B46" s="9" t="s">
        <v>28</v>
      </c>
      <c r="C46" s="6">
        <v>3.7673297166968234</v>
      </c>
      <c r="D46" s="6">
        <v>4.2008532983262219</v>
      </c>
      <c r="E46" s="6">
        <v>2.980230156388322</v>
      </c>
      <c r="F46" s="6">
        <v>1.841004184100421</v>
      </c>
      <c r="G46" s="6">
        <v>1.0132282578102916</v>
      </c>
      <c r="H46" s="6">
        <v>1.7327459618208407</v>
      </c>
      <c r="I46" s="6">
        <v>0.691945751453094</v>
      </c>
      <c r="J46" s="6">
        <v>3.0679184382093121</v>
      </c>
      <c r="M46" s="6">
        <v>0.49927176284275304</v>
      </c>
      <c r="N46" s="6">
        <v>0.44020891700367137</v>
      </c>
      <c r="O46" s="6">
        <v>0.31563144678904786</v>
      </c>
      <c r="P46" s="6">
        <v>0.60015469826071033</v>
      </c>
    </row>
    <row r="47" spans="1:16" x14ac:dyDescent="0.45">
      <c r="A47" s="3">
        <v>2021</v>
      </c>
      <c r="B47" s="9" t="s">
        <v>25</v>
      </c>
      <c r="C47" s="6">
        <v>5.4893987801336142</v>
      </c>
      <c r="D47" s="6">
        <v>7.4330708661417404</v>
      </c>
      <c r="E47" s="6">
        <v>5.1002865329512925</v>
      </c>
      <c r="F47" s="6">
        <v>2.9854834291974739</v>
      </c>
      <c r="G47" s="6">
        <v>1.9782669267205413</v>
      </c>
      <c r="H47" s="6">
        <v>3.5219399538106453</v>
      </c>
      <c r="I47" s="6">
        <v>1.2644310060472772</v>
      </c>
      <c r="J47" s="6">
        <v>5.740993148504649</v>
      </c>
      <c r="M47" s="6">
        <v>1.1723644740339458</v>
      </c>
      <c r="N47" s="6">
        <v>0.88034557508023148</v>
      </c>
      <c r="O47" s="6">
        <v>1.3575444876627698</v>
      </c>
      <c r="P47" s="6">
        <v>1.0822945261526236</v>
      </c>
    </row>
    <row r="48" spans="1:16" x14ac:dyDescent="0.45">
      <c r="B48" s="9" t="s">
        <v>26</v>
      </c>
      <c r="C48" s="6">
        <v>6.0297356828193802</v>
      </c>
      <c r="D48" s="6">
        <v>4.0164174728818374</v>
      </c>
      <c r="E48" s="6">
        <v>7.0883315158124365</v>
      </c>
      <c r="F48" s="6">
        <v>3.8829787234042725</v>
      </c>
      <c r="G48" s="6">
        <v>2.6229508196721216</v>
      </c>
      <c r="H48" s="6">
        <v>3.569436698271041</v>
      </c>
      <c r="I48" s="6">
        <v>2.144408251900114</v>
      </c>
      <c r="J48" s="6">
        <v>5.5777617763086553</v>
      </c>
      <c r="M48" s="6">
        <v>1.5297138549977698</v>
      </c>
      <c r="N48" s="6">
        <v>1.4716415762985897</v>
      </c>
      <c r="O48" s="6">
        <v>2.0720157842814775</v>
      </c>
      <c r="P48" s="6">
        <v>1.2484955125032762</v>
      </c>
    </row>
    <row r="49" spans="1:16" x14ac:dyDescent="0.45">
      <c r="B49" s="9" t="s">
        <v>27</v>
      </c>
      <c r="C49" s="6">
        <v>4.168787327966748</v>
      </c>
      <c r="D49" s="6">
        <v>6.0707440811725011</v>
      </c>
      <c r="E49" s="6">
        <v>4.0554989816700404</v>
      </c>
      <c r="F49" s="6">
        <v>2.9055299539170401</v>
      </c>
      <c r="G49" s="6">
        <v>2.5734824281150228</v>
      </c>
      <c r="H49" s="6">
        <v>3.3093699515347401</v>
      </c>
      <c r="I49" s="6">
        <v>2.224023385596583</v>
      </c>
      <c r="J49" s="6">
        <v>4.4406804333727932</v>
      </c>
      <c r="M49" s="6">
        <v>1.3837547439499074</v>
      </c>
      <c r="N49" s="6">
        <v>1.185514894456497</v>
      </c>
      <c r="O49" s="6">
        <v>1.8624295669150617</v>
      </c>
      <c r="P49" s="6">
        <v>1.1383624838206616</v>
      </c>
    </row>
    <row r="50" spans="1:16" x14ac:dyDescent="0.45">
      <c r="B50" s="9" t="s">
        <v>28</v>
      </c>
      <c r="C50" s="6">
        <v>2.5304496527518139</v>
      </c>
      <c r="D50" s="6">
        <v>5.5131145058046158</v>
      </c>
      <c r="E50" s="6">
        <v>3.0792943997260047</v>
      </c>
      <c r="F50" s="6">
        <v>2.2166991334721562</v>
      </c>
      <c r="G50" s="6">
        <v>2.1995192931636889</v>
      </c>
      <c r="H50" s="6">
        <v>3.3336721476396249</v>
      </c>
      <c r="I50" s="6">
        <v>1.5135090168430678</v>
      </c>
      <c r="J50" s="6">
        <v>4.6812638067452799</v>
      </c>
      <c r="M50" s="6">
        <v>1.6486588315366146</v>
      </c>
      <c r="N50" s="6">
        <v>1.2730684636053047</v>
      </c>
      <c r="O50" s="6">
        <v>2.5311371298808871</v>
      </c>
      <c r="P50" s="6">
        <v>1.1968473870423075</v>
      </c>
    </row>
    <row r="51" spans="1:16" x14ac:dyDescent="0.45">
      <c r="A51" s="3">
        <v>2022</v>
      </c>
      <c r="B51" s="9" t="s">
        <v>25</v>
      </c>
      <c r="C51" s="6">
        <v>3.4922989022744759</v>
      </c>
      <c r="D51" s="6">
        <v>3.2013135660447034</v>
      </c>
      <c r="E51" s="6">
        <v>4.3720153044270713</v>
      </c>
      <c r="F51" s="6">
        <v>3.1161542037535916</v>
      </c>
      <c r="G51" s="6">
        <v>2.9709960887895437</v>
      </c>
      <c r="H51" s="6">
        <v>3.7711674174363599</v>
      </c>
      <c r="I51" s="6">
        <v>2.5242579214373624</v>
      </c>
      <c r="J51" s="6">
        <v>4.4615961302022189</v>
      </c>
      <c r="M51" s="6">
        <v>1.8619485744689537</v>
      </c>
      <c r="N51" s="6">
        <v>1.4583038794853691</v>
      </c>
      <c r="O51" s="6">
        <v>2.8576275891851948</v>
      </c>
      <c r="P51" s="6">
        <v>1.3442365856390688</v>
      </c>
    </row>
    <row r="52" spans="1:16" x14ac:dyDescent="0.45">
      <c r="B52" s="9" t="s">
        <v>26</v>
      </c>
      <c r="C52" s="6">
        <v>5.1847797232121788</v>
      </c>
      <c r="D52" s="6">
        <v>8.325300940217053</v>
      </c>
      <c r="E52" s="6">
        <v>6.0811486892135314</v>
      </c>
      <c r="F52" s="6">
        <v>2.6563628552950345</v>
      </c>
      <c r="G52" s="6">
        <v>2.868749352552062</v>
      </c>
      <c r="H52" s="6">
        <v>5.3503113500585844</v>
      </c>
      <c r="I52" s="6">
        <v>1.5229250552019693</v>
      </c>
      <c r="J52" s="6">
        <v>6.46779119930624</v>
      </c>
      <c r="M52" s="6">
        <v>1.7486816659868496</v>
      </c>
      <c r="N52" s="6">
        <v>1.159836223535321</v>
      </c>
      <c r="O52" s="6">
        <v>2.3793743570980861</v>
      </c>
      <c r="P52" s="6">
        <v>1.417451554164515</v>
      </c>
    </row>
    <row r="53" spans="1:16" x14ac:dyDescent="0.45">
      <c r="B53" s="9" t="s">
        <v>27</v>
      </c>
      <c r="C53" s="6">
        <v>-0.80247644274902885</v>
      </c>
      <c r="D53" s="6">
        <v>0.26919507294171335</v>
      </c>
      <c r="E53" s="6">
        <v>-1.3441177164147451</v>
      </c>
      <c r="F53" s="6">
        <v>0.43180752145240203</v>
      </c>
      <c r="G53" s="6">
        <v>0.62963202731443324</v>
      </c>
      <c r="H53" s="6">
        <v>-0.2953071540465223</v>
      </c>
      <c r="I53" s="6">
        <v>0.98832560371021827</v>
      </c>
      <c r="J53" s="6">
        <v>-0.84843719347833646</v>
      </c>
      <c r="M53" s="6">
        <v>1.1493092608081337</v>
      </c>
      <c r="N53" s="6">
        <v>1.2242050873239001</v>
      </c>
      <c r="O53" s="6">
        <v>0.71913364168688576</v>
      </c>
      <c r="P53" s="6">
        <v>1.3755560590720382</v>
      </c>
    </row>
    <row r="54" spans="1:16" x14ac:dyDescent="0.45">
      <c r="B54" s="9" t="s">
        <v>28</v>
      </c>
      <c r="C54" s="6">
        <v>-0.53631013225379676</v>
      </c>
      <c r="D54" s="6">
        <v>-5.323840570104986</v>
      </c>
      <c r="E54" s="6">
        <v>-1.5412629534100875</v>
      </c>
      <c r="F54" s="6">
        <v>0.59890932567756028</v>
      </c>
      <c r="G54" s="6">
        <v>0.67834975398802377</v>
      </c>
      <c r="H54" s="6">
        <v>0.25476262648468206</v>
      </c>
      <c r="I54" s="6">
        <v>0.83978541253514405</v>
      </c>
      <c r="J54" s="6">
        <v>-1.525839055071931</v>
      </c>
      <c r="M54" s="6">
        <v>1.0204867199862995</v>
      </c>
      <c r="N54" s="6">
        <v>1.1564141317628676</v>
      </c>
      <c r="O54" s="6">
        <v>2.1521763155912522E-2</v>
      </c>
      <c r="P54" s="6">
        <v>1.5382439065793456</v>
      </c>
    </row>
    <row r="55" spans="1:16" x14ac:dyDescent="0.45">
      <c r="A55" s="3">
        <v>2023</v>
      </c>
      <c r="B55" s="9" t="s">
        <v>25</v>
      </c>
      <c r="C55" s="6">
        <v>-0.62069340190693045</v>
      </c>
      <c r="D55" s="6">
        <v>-2.3876757772641524</v>
      </c>
      <c r="E55" s="6">
        <v>-1.4504076236885142</v>
      </c>
      <c r="F55" s="6">
        <v>0.82087344393619344</v>
      </c>
      <c r="G55" s="6">
        <v>0.17016059941970124</v>
      </c>
      <c r="H55" s="6">
        <v>-0.3302805653775715</v>
      </c>
      <c r="I55" s="6">
        <v>0.42593903490864748</v>
      </c>
      <c r="J55" s="6">
        <v>-1.573331674863629</v>
      </c>
      <c r="M55" s="6">
        <v>1.0254195668004646</v>
      </c>
      <c r="N55" s="6">
        <v>1.2167546340290469</v>
      </c>
      <c r="O55" s="6">
        <v>0.17562632301286765</v>
      </c>
      <c r="P55" s="6">
        <v>1.4600492627308519</v>
      </c>
    </row>
    <row r="56" spans="1:16" x14ac:dyDescent="0.45">
      <c r="B56" s="9" t="s">
        <v>26</v>
      </c>
      <c r="C56" s="6">
        <v>-1.155750736865113</v>
      </c>
      <c r="D56" s="6">
        <v>-2.5831890935257404</v>
      </c>
      <c r="E56" s="6">
        <v>-1.8300630175885031</v>
      </c>
      <c r="F56" s="6">
        <v>3.3858745826917273E-2</v>
      </c>
      <c r="G56" s="6">
        <v>-0.22397527766557576</v>
      </c>
      <c r="H56" s="6">
        <v>-1.5686474294699029</v>
      </c>
      <c r="I56" s="6">
        <v>0.39261725591330382</v>
      </c>
      <c r="J56" s="6">
        <v>-2.9975683080095976</v>
      </c>
      <c r="M56" s="6">
        <v>0.61660617947234475</v>
      </c>
      <c r="N56" s="6">
        <v>0.90265621862830725</v>
      </c>
      <c r="O56" s="6">
        <v>5.7471931637429752E-2</v>
      </c>
      <c r="P56" s="6">
        <v>0.89830061626003777</v>
      </c>
    </row>
    <row r="57" spans="1:16" x14ac:dyDescent="0.45">
      <c r="B57" s="9" t="s">
        <v>27</v>
      </c>
      <c r="C57" s="6">
        <v>0.60606339930129771</v>
      </c>
      <c r="D57" s="6">
        <v>1.6806995303524137</v>
      </c>
      <c r="E57" s="6">
        <v>1.2090243401685527E-2</v>
      </c>
      <c r="F57" s="6">
        <v>0.71214688819336547</v>
      </c>
      <c r="G57" s="6">
        <v>0.98481458065463778</v>
      </c>
      <c r="H57" s="6">
        <v>1.2082914767928643</v>
      </c>
      <c r="I57" s="6">
        <v>0.96620209727202899</v>
      </c>
      <c r="J57" s="6">
        <v>1.1899325858406231</v>
      </c>
      <c r="M57" s="6">
        <v>0.64115023852231523</v>
      </c>
      <c r="N57" s="6">
        <v>0.50670515533260529</v>
      </c>
      <c r="O57" s="6">
        <v>0.21931224145234268</v>
      </c>
      <c r="P57" s="6">
        <v>0.85328644567409762</v>
      </c>
    </row>
    <row r="58" spans="1:16" x14ac:dyDescent="0.45">
      <c r="B58" s="9" t="s">
        <v>28</v>
      </c>
      <c r="C58" s="6">
        <v>1.2368923766219855E-2</v>
      </c>
      <c r="D58" s="6">
        <v>-0.23855043795601333</v>
      </c>
      <c r="E58" s="6">
        <v>-8.1428209742626198E-2</v>
      </c>
      <c r="F58" s="6">
        <v>0.20500848040545089</v>
      </c>
      <c r="G58" s="6">
        <v>3.6579189255092362E-2</v>
      </c>
      <c r="H58" s="6">
        <v>-0.27777842347379267</v>
      </c>
      <c r="I58" s="6">
        <v>0.19319497977860731</v>
      </c>
      <c r="J58" s="6">
        <v>-0.14548695169450473</v>
      </c>
      <c r="M58" s="6">
        <v>0.44420777887834173</v>
      </c>
      <c r="N58" s="6">
        <v>0.50721788619246866</v>
      </c>
      <c r="O58" s="6">
        <v>-0.35053694966279009</v>
      </c>
      <c r="P58" s="6">
        <v>0.84174902439156796</v>
      </c>
    </row>
    <row r="59" spans="1:16" x14ac:dyDescent="0.45">
      <c r="A59" s="3">
        <v>2024</v>
      </c>
      <c r="B59" s="9" t="s">
        <v>25</v>
      </c>
      <c r="C59" s="7">
        <v>0.38819875776397356</v>
      </c>
      <c r="D59" s="7">
        <v>-0.19705330279541955</v>
      </c>
      <c r="E59" s="7">
        <v>0.65446759164142687</v>
      </c>
      <c r="F59" s="7">
        <v>0.95497252022414736</v>
      </c>
      <c r="G59" s="7">
        <v>0.69709442418218914</v>
      </c>
      <c r="H59" s="7">
        <v>0.4505785493841466</v>
      </c>
      <c r="I59" s="7">
        <v>0.82553594693830878</v>
      </c>
      <c r="J59" s="7">
        <v>0.1169146355189971</v>
      </c>
      <c r="M59" s="7">
        <v>0.84108632534274175</v>
      </c>
      <c r="N59" s="7">
        <v>0.92220107534638374</v>
      </c>
      <c r="O59" s="7">
        <v>-0.13274888964413237</v>
      </c>
      <c r="P59" s="7">
        <v>1.3188565984311615</v>
      </c>
    </row>
    <row r="60" spans="1:16" x14ac:dyDescent="0.45">
      <c r="B60" s="9" t="s">
        <v>26</v>
      </c>
      <c r="C60" s="7">
        <v>-0.23133414094958027</v>
      </c>
      <c r="D60" s="7">
        <v>0.80653112736883437</v>
      </c>
      <c r="E60" s="7">
        <v>0.19798926367499725</v>
      </c>
      <c r="F60" s="7">
        <v>0.34683694012743355</v>
      </c>
      <c r="G60" s="7">
        <v>0.69785522413769474</v>
      </c>
      <c r="H60" s="7">
        <v>-9.3285097357628521E-2</v>
      </c>
      <c r="I60" s="7">
        <v>1.0750995571322763</v>
      </c>
      <c r="J60" s="7">
        <v>-0.83524405661108314</v>
      </c>
      <c r="M60" s="7">
        <v>0.64911539980659505</v>
      </c>
      <c r="N60" s="7">
        <v>0.71666950732062829</v>
      </c>
      <c r="O60" s="7">
        <v>0.16637483202541489</v>
      </c>
      <c r="P60" s="7">
        <v>0.88170424079137</v>
      </c>
    </row>
    <row r="62" spans="1:16" ht="21" customHeight="1" x14ac:dyDescent="0.45">
      <c r="A62" s="3" t="s">
        <v>35</v>
      </c>
      <c r="B62" s="10" t="s">
        <v>50</v>
      </c>
      <c r="C62" s="6">
        <f>_xlfn.STDEV.P(C4:C42)</f>
        <v>1.8205611890769033</v>
      </c>
      <c r="D62" s="6">
        <f t="shared" ref="D62:M62" si="0">_xlfn.STDEV.P(D4:D42)</f>
        <v>2.2523588678045479</v>
      </c>
      <c r="E62" s="6">
        <f t="shared" si="0"/>
        <v>1.3643877013399126</v>
      </c>
      <c r="F62" s="6">
        <f t="shared" si="0"/>
        <v>0.57707890776653725</v>
      </c>
      <c r="G62" s="6">
        <f t="shared" si="0"/>
        <v>0.4570272185311447</v>
      </c>
      <c r="H62" s="6">
        <f t="shared" si="0"/>
        <v>1.0578363310693342</v>
      </c>
      <c r="I62" s="6">
        <f t="shared" si="0"/>
        <v>0.28766328798282437</v>
      </c>
      <c r="J62" s="6">
        <f t="shared" si="0"/>
        <v>1.4604215362287132</v>
      </c>
      <c r="K62" s="6"/>
      <c r="L62" s="6"/>
      <c r="M62" s="6">
        <f t="shared" si="0"/>
        <v>0.26228691537723187</v>
      </c>
      <c r="N62" s="6">
        <f>_xlfn.STDEV.P(N5:N43)</f>
        <v>0.10652045245074271</v>
      </c>
      <c r="O62" s="6">
        <f t="shared" ref="O62:P62" si="1">_xlfn.STDEV.P(O5:O43)</f>
        <v>0.69633490522592856</v>
      </c>
      <c r="P62" s="6">
        <f t="shared" si="1"/>
        <v>0.10432577403023559</v>
      </c>
    </row>
    <row r="63" spans="1:16" ht="30" customHeight="1" x14ac:dyDescent="0.45">
      <c r="A63" s="5" t="s">
        <v>51</v>
      </c>
      <c r="C63" s="6">
        <f>$M$62/C62</f>
        <v>0.14406926663652636</v>
      </c>
      <c r="D63" s="6">
        <f t="shared" ref="D63:J63" si="2">$M$62/D62</f>
        <v>0.11644987800407312</v>
      </c>
      <c r="E63" s="6">
        <f t="shared" si="2"/>
        <v>0.19223781856113917</v>
      </c>
      <c r="F63" s="6">
        <f t="shared" si="2"/>
        <v>0.45450788765154893</v>
      </c>
      <c r="G63" s="6">
        <f t="shared" si="2"/>
        <v>0.57389780026713655</v>
      </c>
      <c r="H63" s="6">
        <f t="shared" si="2"/>
        <v>0.24794659407480749</v>
      </c>
      <c r="I63" s="6">
        <f t="shared" si="2"/>
        <v>0.91178445889449866</v>
      </c>
      <c r="J63" s="6">
        <f t="shared" si="2"/>
        <v>0.17959671839306246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6F6C-7EFB-4F9F-A470-51CE819921B3}">
  <dimension ref="A1:G15"/>
  <sheetViews>
    <sheetView workbookViewId="0">
      <selection activeCell="C25" sqref="C25"/>
    </sheetView>
  </sheetViews>
  <sheetFormatPr defaultRowHeight="14.4" x14ac:dyDescent="0.45"/>
  <cols>
    <col min="1" max="1" width="20.69921875" style="1" customWidth="1"/>
    <col min="2" max="2" width="15.8984375" style="1" customWidth="1"/>
    <col min="3" max="3" width="22.59765625" style="1" customWidth="1"/>
    <col min="4" max="4" width="13" style="1" customWidth="1"/>
    <col min="5" max="5" width="8.796875" style="1"/>
    <col min="6" max="6" width="35.69921875" style="1" customWidth="1"/>
    <col min="7" max="16384" width="8.796875" style="1"/>
  </cols>
  <sheetData>
    <row r="1" spans="1:7" x14ac:dyDescent="0.45">
      <c r="A1" s="11" t="s">
        <v>0</v>
      </c>
      <c r="B1" s="11"/>
      <c r="C1" s="11"/>
      <c r="D1" s="11"/>
      <c r="F1" s="12" t="s">
        <v>4</v>
      </c>
      <c r="G1" s="12"/>
    </row>
    <row r="2" spans="1:7" x14ac:dyDescent="0.45">
      <c r="A2" s="1" t="s">
        <v>3</v>
      </c>
      <c r="B2" s="2"/>
      <c r="C2" s="2"/>
      <c r="D2" s="2"/>
      <c r="F2" s="1" t="s">
        <v>9</v>
      </c>
    </row>
    <row r="3" spans="1:7" x14ac:dyDescent="0.45">
      <c r="A3" s="1" t="s">
        <v>1</v>
      </c>
      <c r="B3" s="1" t="s">
        <v>29</v>
      </c>
      <c r="C3" s="1" t="s">
        <v>36</v>
      </c>
      <c r="D3" s="1" t="s">
        <v>2</v>
      </c>
      <c r="F3" s="1" t="s">
        <v>46</v>
      </c>
    </row>
    <row r="4" spans="1:7" x14ac:dyDescent="0.45">
      <c r="B4" s="1" t="s">
        <v>17</v>
      </c>
      <c r="C4" s="1" t="s">
        <v>37</v>
      </c>
      <c r="D4" s="1" t="s">
        <v>24</v>
      </c>
      <c r="F4" s="1" t="s">
        <v>47</v>
      </c>
    </row>
    <row r="5" spans="1:7" x14ac:dyDescent="0.45">
      <c r="B5" s="1" t="s">
        <v>18</v>
      </c>
      <c r="C5" s="1" t="s">
        <v>37</v>
      </c>
      <c r="D5" s="1" t="s">
        <v>38</v>
      </c>
    </row>
    <row r="6" spans="1:7" x14ac:dyDescent="0.45">
      <c r="B6" s="1" t="s">
        <v>19</v>
      </c>
      <c r="C6" s="1" t="s">
        <v>37</v>
      </c>
      <c r="D6" s="1" t="s">
        <v>39</v>
      </c>
      <c r="F6" s="1" t="s">
        <v>48</v>
      </c>
      <c r="G6" s="1">
        <v>1</v>
      </c>
    </row>
    <row r="7" spans="1:7" x14ac:dyDescent="0.45">
      <c r="B7" s="1" t="s">
        <v>20</v>
      </c>
      <c r="C7" s="1" t="s">
        <v>37</v>
      </c>
      <c r="D7" s="1" t="s">
        <v>40</v>
      </c>
      <c r="F7" s="1" t="s">
        <v>33</v>
      </c>
      <c r="G7" s="1">
        <v>2</v>
      </c>
    </row>
    <row r="8" spans="1:7" x14ac:dyDescent="0.45">
      <c r="B8" s="1" t="s">
        <v>21</v>
      </c>
      <c r="C8" s="1" t="s">
        <v>37</v>
      </c>
      <c r="D8" s="1" t="s">
        <v>41</v>
      </c>
      <c r="F8" s="1" t="s">
        <v>34</v>
      </c>
      <c r="G8" s="1">
        <v>13</v>
      </c>
    </row>
    <row r="9" spans="1:7" x14ac:dyDescent="0.45">
      <c r="B9" s="1" t="s">
        <v>22</v>
      </c>
      <c r="C9" s="1" t="s">
        <v>37</v>
      </c>
      <c r="D9" s="1" t="s">
        <v>42</v>
      </c>
      <c r="F9" s="1" t="s">
        <v>49</v>
      </c>
      <c r="G9" s="1">
        <v>25</v>
      </c>
    </row>
    <row r="10" spans="1:7" x14ac:dyDescent="0.45">
      <c r="B10" s="1" t="s">
        <v>23</v>
      </c>
      <c r="C10" s="1" t="s">
        <v>37</v>
      </c>
      <c r="D10" s="1" t="s">
        <v>43</v>
      </c>
    </row>
    <row r="13" spans="1:7" x14ac:dyDescent="0.45">
      <c r="A13" s="12" t="s">
        <v>5</v>
      </c>
      <c r="B13" s="12"/>
      <c r="C13" s="12"/>
      <c r="D13" s="12"/>
      <c r="F13" s="12" t="s">
        <v>5</v>
      </c>
      <c r="G13" s="12"/>
    </row>
    <row r="14" spans="1:7" x14ac:dyDescent="0.45">
      <c r="A14" s="1" t="s">
        <v>6</v>
      </c>
      <c r="B14" s="1" t="s">
        <v>7</v>
      </c>
      <c r="F14" s="1" t="s">
        <v>8</v>
      </c>
    </row>
    <row r="15" spans="1:7" x14ac:dyDescent="0.45">
      <c r="A15" s="1" t="s">
        <v>8</v>
      </c>
    </row>
  </sheetData>
  <mergeCells count="4">
    <mergeCell ref="A1:D1"/>
    <mergeCell ref="F1:G1"/>
    <mergeCell ref="A13:D13"/>
    <mergeCell ref="F13:G1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stdpi_over_stdpic</vt:lpstr>
      <vt:lpstr>Inflation STDEV</vt:lpstr>
      <vt:lpstr>DATA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蓮井 康平</dc:creator>
  <cp:lastModifiedBy>蓮井 康平</cp:lastModifiedBy>
  <dcterms:created xsi:type="dcterms:W3CDTF">2024-08-10T12:35:40Z</dcterms:created>
  <dcterms:modified xsi:type="dcterms:W3CDTF">2024-08-11T06:11:19Z</dcterms:modified>
</cp:coreProperties>
</file>