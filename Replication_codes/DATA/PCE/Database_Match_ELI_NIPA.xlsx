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kohei\Documents\MATLAB\00 On Going 2022\05 network DSGE\IO and Model (FEB 2023)\Replication codes (Mar 24 2023)\v71 Aug 3 Bench model group reordered\DATA\PCE\"/>
    </mc:Choice>
  </mc:AlternateContent>
  <xr:revisionPtr revIDLastSave="0" documentId="13_ncr:1_{A7B7644B-28C9-4753-BBE8-26EED13046A3}" xr6:coauthVersionLast="47" xr6:coauthVersionMax="47" xr10:uidLastSave="{00000000-0000-0000-0000-000000000000}"/>
  <bookViews>
    <workbookView xWindow="-28908" yWindow="3120" windowWidth="29016" windowHeight="16416" tabRatio="723" activeTab="1" xr2:uid="{00000000-000D-0000-FFFF-FFFF00000000}"/>
  </bookViews>
  <sheets>
    <sheet name="(1) NIPA and Name" sheetId="6" r:id="rId1"/>
    <sheet name="(2) ELI and NIPA" sheetId="5" r:id="rId2"/>
    <sheet name="(3) NIPA stikciness (by MATLAB)" sheetId="9" r:id="rId3"/>
    <sheet name="(4) NIPA all freq stickiness" sheetId="10" r:id="rId4"/>
    <sheet name="(5) freq stickiness for BEA" sheetId="11" r:id="rId5"/>
    <sheet name="Sheet7"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8" i="7" l="1"/>
  <c r="B54" i="7"/>
  <c r="B21" i="7"/>
</calcChain>
</file>

<file path=xl/sharedStrings.xml><?xml version="1.0" encoding="utf-8"?>
<sst xmlns="http://schemas.openxmlformats.org/spreadsheetml/2006/main" count="1152" uniqueCount="795">
  <si>
    <t xml:space="preserve">New motor vehicles </t>
  </si>
  <si>
    <t xml:space="preserve">Net purchases of used motor vehicles </t>
  </si>
  <si>
    <t xml:space="preserve">Motor vehicles parts and accessories </t>
  </si>
  <si>
    <t xml:space="preserve">Furniture and furnishings </t>
  </si>
  <si>
    <t xml:space="preserve">Household appliances </t>
  </si>
  <si>
    <t xml:space="preserve">Glassware, tableware and household utensils </t>
  </si>
  <si>
    <t xml:space="preserve">Tools and equipment for house and garden </t>
  </si>
  <si>
    <t xml:space="preserve">Video, audio, photographic, and information processing equipment and media </t>
  </si>
  <si>
    <t xml:space="preserve">Sporting equipment, supplies, guns, and ammunition </t>
  </si>
  <si>
    <t xml:space="preserve">Sports and recreational vehicles </t>
  </si>
  <si>
    <t xml:space="preserve">Recreational books </t>
  </si>
  <si>
    <t>Musical instruments</t>
  </si>
  <si>
    <t xml:space="preserve">Jewelry and watches </t>
  </si>
  <si>
    <t>Therapeutic appliances and equipment</t>
  </si>
  <si>
    <t>Educational books</t>
  </si>
  <si>
    <t xml:space="preserve">Luggage and similar personal items </t>
  </si>
  <si>
    <t xml:space="preserve">Telephone and facsimile equipment </t>
  </si>
  <si>
    <t xml:space="preserve">Food and nonalcoholic beverages purchased for off-premises consumption </t>
  </si>
  <si>
    <t>Alcoholic beverages purchased for off-premises consumption</t>
  </si>
  <si>
    <t xml:space="preserve">Food produced and consumed on farms </t>
  </si>
  <si>
    <t xml:space="preserve">Womens and girls clothing </t>
  </si>
  <si>
    <t xml:space="preserve">Mens and boys clothing </t>
  </si>
  <si>
    <t xml:space="preserve">Childrens and infants clothing </t>
  </si>
  <si>
    <t xml:space="preserve">Other clothing materials and footwear </t>
  </si>
  <si>
    <t xml:space="preserve">Motor vehicle fuels, lubricants, and fluids </t>
  </si>
  <si>
    <t xml:space="preserve">Fuel oil and other fuels </t>
  </si>
  <si>
    <t xml:space="preserve">Pharmaceutical and other medical products </t>
  </si>
  <si>
    <t xml:space="preserve">Recreational items </t>
  </si>
  <si>
    <t xml:space="preserve">Household supplies </t>
  </si>
  <si>
    <t xml:space="preserve">Personal care products </t>
  </si>
  <si>
    <t xml:space="preserve">Tobacco </t>
  </si>
  <si>
    <t xml:space="preserve">Magazines, newspapers, and stationery </t>
  </si>
  <si>
    <t xml:space="preserve">Net expenditures abroad by U.S. residents </t>
  </si>
  <si>
    <t xml:space="preserve">Rental of tenant-occupied nonfarm housing </t>
  </si>
  <si>
    <t xml:space="preserve">Imputed rental of owner-occupied nonfarm housing </t>
  </si>
  <si>
    <t xml:space="preserve">Rental value of farm dwellings  </t>
  </si>
  <si>
    <t xml:space="preserve">Group housing </t>
  </si>
  <si>
    <t xml:space="preserve">Water supply and sanitation </t>
  </si>
  <si>
    <t>Electricity</t>
  </si>
  <si>
    <t xml:space="preserve">Natural Gas </t>
  </si>
  <si>
    <t xml:space="preserve">Physician services </t>
  </si>
  <si>
    <t xml:space="preserve">Dental services </t>
  </si>
  <si>
    <t xml:space="preserve">Paramedical services </t>
  </si>
  <si>
    <t xml:space="preserve">Hospitals </t>
  </si>
  <si>
    <t>Nursing homes</t>
  </si>
  <si>
    <t>Motor vehicle maintenance and repair</t>
  </si>
  <si>
    <t>Other motor vehicle services</t>
  </si>
  <si>
    <t>Ground transportation</t>
  </si>
  <si>
    <t>Air transportation</t>
  </si>
  <si>
    <t>Water transportation</t>
  </si>
  <si>
    <t>Membership clubs, sports centers, parks, theaters, and museums</t>
  </si>
  <si>
    <t>Audio-video, photographic, and information processing equipment services</t>
  </si>
  <si>
    <t>Gambling</t>
  </si>
  <si>
    <t>Other recreational services</t>
  </si>
  <si>
    <t>Purchased meals and beverages</t>
  </si>
  <si>
    <t>Food furnished to employees (including military)</t>
  </si>
  <si>
    <t xml:space="preserve">Accommodations </t>
  </si>
  <si>
    <t>Financial services furnished without payment</t>
  </si>
  <si>
    <t>Financial service charges, fees, and commissions</t>
  </si>
  <si>
    <t>Life insurance</t>
  </si>
  <si>
    <t>Net household insurance</t>
  </si>
  <si>
    <t>Net health insurance</t>
  </si>
  <si>
    <t>Net motor vehicle and other transportation insurance</t>
  </si>
  <si>
    <t>Telecommunication services</t>
  </si>
  <si>
    <t>Postal and delivery services</t>
  </si>
  <si>
    <t>Internet access</t>
  </si>
  <si>
    <t>Higher education</t>
  </si>
  <si>
    <t>Nursery, elementary, and secondary schools</t>
  </si>
  <si>
    <t>Commercial and vocational schools</t>
  </si>
  <si>
    <t>Professional and other services</t>
  </si>
  <si>
    <t>Personal care and clothing services</t>
  </si>
  <si>
    <t>Social services and religious activities</t>
  </si>
  <si>
    <t>Household maintenance</t>
  </si>
  <si>
    <t>Foreign travel by U.S. residents</t>
  </si>
  <si>
    <t>Less: Expenditures in the United States by nonresidents</t>
  </si>
  <si>
    <t>Final consumption expenditures of nonprofit institutions serving households (NPISHs)</t>
  </si>
  <si>
    <t>SUBCOMPACT CARS</t>
  </si>
  <si>
    <t>TA011</t>
  </si>
  <si>
    <t>NEW MOTORCYCLES</t>
  </si>
  <si>
    <t>TA012</t>
  </si>
  <si>
    <t>USED CARS</t>
  </si>
  <si>
    <t>TA021</t>
  </si>
  <si>
    <t>TIRES</t>
  </si>
  <si>
    <t>TC011</t>
  </si>
  <si>
    <t>AUTOMOBILE BATTERIES</t>
  </si>
  <si>
    <t>TC021</t>
  </si>
  <si>
    <t>MOTOR OIL</t>
  </si>
  <si>
    <t>TC022</t>
  </si>
  <si>
    <t>ROOM SIZE RUGS</t>
  </si>
  <si>
    <t>HH011</t>
  </si>
  <si>
    <t>CURTAINS AND DRAPES</t>
  </si>
  <si>
    <t>HH021</t>
  </si>
  <si>
    <t>VENETIAN BLINDS</t>
  </si>
  <si>
    <t>HH022</t>
  </si>
  <si>
    <t>TOWELS, WASH CLOTHS, BATH MATS</t>
  </si>
  <si>
    <t>HH031</t>
  </si>
  <si>
    <t>BEDSPREADS</t>
  </si>
  <si>
    <t>HH032</t>
  </si>
  <si>
    <t>MATTRESSES AND SPRINGS</t>
  </si>
  <si>
    <t>HJ011</t>
  </si>
  <si>
    <t>BEDROOM CASE GOODS</t>
  </si>
  <si>
    <t>HJ012</t>
  </si>
  <si>
    <t>SOFAS OTHER THAN SOFA BEDS</t>
  </si>
  <si>
    <t>HJ021</t>
  </si>
  <si>
    <t>RECLINERS</t>
  </si>
  <si>
    <t>HJ022</t>
  </si>
  <si>
    <t>LIVING ROOM TABLES</t>
  </si>
  <si>
    <t>HJ023</t>
  </si>
  <si>
    <t>KITCHEN TABLE, CHAIR AND SETS</t>
  </si>
  <si>
    <t>HJ024</t>
  </si>
  <si>
    <t>CRIB AND MATTRESS</t>
  </si>
  <si>
    <t>HJ031</t>
  </si>
  <si>
    <t>CHAISE LOUNGE</t>
  </si>
  <si>
    <t>HJ032</t>
  </si>
  <si>
    <t>RECORD CABINET, CURIO CABINET, BOOKCASE</t>
  </si>
  <si>
    <t>HJ033</t>
  </si>
  <si>
    <t>CEILING AND WALL LIGHTS</t>
  </si>
  <si>
    <t>HL011</t>
  </si>
  <si>
    <t>PAINTINGS AND PICTURES</t>
  </si>
  <si>
    <t>HL012</t>
  </si>
  <si>
    <t>REFRIGERATOR</t>
  </si>
  <si>
    <t>HK011</t>
  </si>
  <si>
    <t>WASHERS</t>
  </si>
  <si>
    <t>HK012</t>
  </si>
  <si>
    <t>STOVES AND OVENS EXCLUDING MICROWAVES</t>
  </si>
  <si>
    <t>HK013</t>
  </si>
  <si>
    <t>MICROWAVE OVENS</t>
  </si>
  <si>
    <t>HK014</t>
  </si>
  <si>
    <t>FLOOR CLEANING EQUIPMENT</t>
  </si>
  <si>
    <t>HK021</t>
  </si>
  <si>
    <t>BLENDERS</t>
  </si>
  <si>
    <t>HK022</t>
  </si>
  <si>
    <t>FAN</t>
  </si>
  <si>
    <t>HK023</t>
  </si>
  <si>
    <t>DISHCLOTHS AND DISHTOWELS</t>
  </si>
  <si>
    <t>HH033</t>
  </si>
  <si>
    <t>PLASTIC DINNERWARE</t>
  </si>
  <si>
    <t>HL031</t>
  </si>
  <si>
    <t>FLATWARE</t>
  </si>
  <si>
    <t>HL032</t>
  </si>
  <si>
    <t>NONELECTRIC COOKINGWARE</t>
  </si>
  <si>
    <t>HL041</t>
  </si>
  <si>
    <t>TABLEWARE AND NONELECTRIC KITCHENWARE</t>
  </si>
  <si>
    <t>HL042</t>
  </si>
  <si>
    <t>PAINT</t>
  </si>
  <si>
    <t>HM011</t>
  </si>
  <si>
    <t>PORTABLE SANDING/POLISHING TOOLS</t>
  </si>
  <si>
    <t>HM012</t>
  </si>
  <si>
    <t>ROPE</t>
  </si>
  <si>
    <t>HM013</t>
  </si>
  <si>
    <t>GENERAL PURPOSE AND AUTO</t>
  </si>
  <si>
    <t>HM014</t>
  </si>
  <si>
    <t>LARGE EQUIPMENT, POWERED</t>
  </si>
  <si>
    <t>HM021</t>
  </si>
  <si>
    <t>FERTILIZER, WEED/PEST KILLERS, LAWN/GARDEN INSECTICIDES</t>
  </si>
  <si>
    <t>HM022</t>
  </si>
  <si>
    <t>PERSONAL COMPUTERS AND PERIPHERAL EQUIPMENT</t>
  </si>
  <si>
    <t>EE011</t>
  </si>
  <si>
    <t>COMPUTER SOFTWARE</t>
  </si>
  <si>
    <t>EE021</t>
  </si>
  <si>
    <t>CALCULATORS AND ADDING MACHINES</t>
  </si>
  <si>
    <t>EE042</t>
  </si>
  <si>
    <t>OTHER VIDEO EQUIPMENT</t>
  </si>
  <si>
    <t>RA031</t>
  </si>
  <si>
    <t>PRERECORDED - VIDEO TAPES AND DISCS</t>
  </si>
  <si>
    <t>RA041</t>
  </si>
  <si>
    <t>RADIO, PHONOGRAPHS AND TAPE RECORDERS/PLAYERS</t>
  </si>
  <si>
    <t>RA051</t>
  </si>
  <si>
    <t>PRERECORDED - RECORDS, COMPACT DISCS, AND TAPES</t>
  </si>
  <si>
    <t>RA061</t>
  </si>
  <si>
    <t>STILL CAMERA</t>
  </si>
  <si>
    <t>RD012</t>
  </si>
  <si>
    <t>TELEVISIONS</t>
  </si>
  <si>
    <t>RA011</t>
  </si>
  <si>
    <t>EXERCISE EQUIPMENT</t>
  </si>
  <si>
    <t>RC021</t>
  </si>
  <si>
    <t>SCUBA GEAR AND EQUIPMENT</t>
  </si>
  <si>
    <t>RC022</t>
  </si>
  <si>
    <t>SLEEPING BAGS, COTS, AND OTHER SLEEPING EQUIPMENT</t>
  </si>
  <si>
    <t>RC023</t>
  </si>
  <si>
    <t>OUTBOARD MOTORS GASOLINE POWERED</t>
  </si>
  <si>
    <t>RC011</t>
  </si>
  <si>
    <t>UNPOWERED BOATS</t>
  </si>
  <si>
    <t>RC012</t>
  </si>
  <si>
    <t>BICYCLES AND ACCESSORIES</t>
  </si>
  <si>
    <t>RC013</t>
  </si>
  <si>
    <t>BOOKS PURCHASED THROUGH BOOK CLUBS</t>
  </si>
  <si>
    <t>RG021</t>
  </si>
  <si>
    <t>BOOKS NOT PURCHASED THROUGH BOOK CLUBS</t>
  </si>
  <si>
    <t>RG022</t>
  </si>
  <si>
    <t>STRING INSTRUMENTS</t>
  </si>
  <si>
    <t>RE031</t>
  </si>
  <si>
    <t>WATCHES</t>
  </si>
  <si>
    <t>AG011</t>
  </si>
  <si>
    <t>JEWELRY</t>
  </si>
  <si>
    <t>AG021</t>
  </si>
  <si>
    <t>MEDICAL EQUIPMENT FOR GENERAL USE</t>
  </si>
  <si>
    <t>MB022</t>
  </si>
  <si>
    <t>SUPPORTIVE MEDICAL EQUIPMENT</t>
  </si>
  <si>
    <t>MB023</t>
  </si>
  <si>
    <t>COLLEGE TEXTBOOKS</t>
  </si>
  <si>
    <t>EA011</t>
  </si>
  <si>
    <t>ELEMENTARY AND HIGH SCHOOL BOOKS AND SUPPLIES</t>
  </si>
  <si>
    <t>EA012</t>
  </si>
  <si>
    <t>ENCYCLOPEDIAS AND OTHER SETS OF REFERENCE BOOKS</t>
  </si>
  <si>
    <t>EA013</t>
  </si>
  <si>
    <t>LUGGAGE</t>
  </si>
  <si>
    <t>GE012</t>
  </si>
  <si>
    <t>TELEPHONES</t>
  </si>
  <si>
    <t>EE041</t>
  </si>
  <si>
    <t>FLOUR</t>
  </si>
  <si>
    <t>FA011</t>
  </si>
  <si>
    <t>CEREAL</t>
  </si>
  <si>
    <t>FA021</t>
  </si>
  <si>
    <t>RICE</t>
  </si>
  <si>
    <t>FA031</t>
  </si>
  <si>
    <t>WHITE BREAD</t>
  </si>
  <si>
    <t>FB011</t>
  </si>
  <si>
    <t>FRESH ROLLS, BISCUITS, AND MUFFINS</t>
  </si>
  <si>
    <t>FB021</t>
  </si>
  <si>
    <t>CAKES AND CUPCAKES (EXCLUDING FROZEN)</t>
  </si>
  <si>
    <t>FB031</t>
  </si>
  <si>
    <t>COOKIES</t>
  </si>
  <si>
    <t>FB032</t>
  </si>
  <si>
    <t>CRACKERS</t>
  </si>
  <si>
    <t>FB041</t>
  </si>
  <si>
    <t>SWEETROLLS, COFFEE CAKE AND DOUGHNUTS (EXCLUDING FROZEN)</t>
  </si>
  <si>
    <t>FB042</t>
  </si>
  <si>
    <t>FB043</t>
  </si>
  <si>
    <t>PIES, TARTS, TURNOVERS (EXCLUDING FROZEN)</t>
  </si>
  <si>
    <t>FB044</t>
  </si>
  <si>
    <t>UNCOOKED GROUND BEEF</t>
  </si>
  <si>
    <t>FC011</t>
  </si>
  <si>
    <t>CHUCK ROAST</t>
  </si>
  <si>
    <t>FC021</t>
  </si>
  <si>
    <t>ROUND STEAK</t>
  </si>
  <si>
    <t>FC031</t>
  </si>
  <si>
    <t>OTHER BEEF</t>
  </si>
  <si>
    <t>FC041</t>
  </si>
  <si>
    <t>BACON AND RELATED PRODUCTS</t>
  </si>
  <si>
    <t>FD011</t>
  </si>
  <si>
    <t>HAM (EXCLUDING CANNED)</t>
  </si>
  <si>
    <t>FD021</t>
  </si>
  <si>
    <t>PORK CHOPS</t>
  </si>
  <si>
    <t>FD031</t>
  </si>
  <si>
    <t>PORK ROASTS</t>
  </si>
  <si>
    <t>FD041</t>
  </si>
  <si>
    <t>FRANKFURTERS</t>
  </si>
  <si>
    <t>FE011</t>
  </si>
  <si>
    <t>LUNCHMEATS (EXC BLGNA/LVWRST/SALMI)</t>
  </si>
  <si>
    <t>FE012</t>
  </si>
  <si>
    <t>LAMB AND MUTTON</t>
  </si>
  <si>
    <t>FE013</t>
  </si>
  <si>
    <t>FRESH WHOLE CHICKEN</t>
  </si>
  <si>
    <t>FF011</t>
  </si>
  <si>
    <t>TURKEY (EXCLUDING CANNED)</t>
  </si>
  <si>
    <t>FF021</t>
  </si>
  <si>
    <t>FRESH FISH</t>
  </si>
  <si>
    <t>FG011</t>
  </si>
  <si>
    <t>CANNED FISH AND SEAFOOD</t>
  </si>
  <si>
    <t>FG021</t>
  </si>
  <si>
    <t>EGGS IN SHELL</t>
  </si>
  <si>
    <t>FH011</t>
  </si>
  <si>
    <t>FRESH WHOLE MILK (UNFLAVORED)</t>
  </si>
  <si>
    <t>FJ011</t>
  </si>
  <si>
    <t>CHEESE AND CHEESE PRODUCTS</t>
  </si>
  <si>
    <t>FJ021</t>
  </si>
  <si>
    <t>ICE CREAM AND RELATED PRODUCTS</t>
  </si>
  <si>
    <t>FJ031</t>
  </si>
  <si>
    <t>POWDERED/EVAPORATED/CONDENSED MILK</t>
  </si>
  <si>
    <t>FJ041</t>
  </si>
  <si>
    <t>APPLES</t>
  </si>
  <si>
    <t>FK011</t>
  </si>
  <si>
    <t>BANANAS</t>
  </si>
  <si>
    <t>FK021</t>
  </si>
  <si>
    <t>ORANGES, MANDARINS (TANGERINES) AND TANGELOS</t>
  </si>
  <si>
    <t>FK031</t>
  </si>
  <si>
    <t>OTHER FRESH FRUITS</t>
  </si>
  <si>
    <t>FK041</t>
  </si>
  <si>
    <t>POTATOES</t>
  </si>
  <si>
    <t>FL011</t>
  </si>
  <si>
    <t>LETTUCE</t>
  </si>
  <si>
    <t>FL021</t>
  </si>
  <si>
    <t>TOMATOES</t>
  </si>
  <si>
    <t>FL031</t>
  </si>
  <si>
    <t>OTHER FRESH VEGETABLES</t>
  </si>
  <si>
    <t>FL041</t>
  </si>
  <si>
    <t>CANNED FRUIT</t>
  </si>
  <si>
    <t>FM011</t>
  </si>
  <si>
    <t>FROZEN FRUITS</t>
  </si>
  <si>
    <t>FM021</t>
  </si>
  <si>
    <t>DRIED AND PROCESSED FRUIT</t>
  </si>
  <si>
    <t>FM031</t>
  </si>
  <si>
    <t>TEA</t>
  </si>
  <si>
    <t>FP021</t>
  </si>
  <si>
    <t>POWDERS, CRYSTALS, TABLETS, MIXES, AND SYRUPS</t>
  </si>
  <si>
    <t>FP022</t>
  </si>
  <si>
    <t>SUGAR AND ARTIFICIAL SWEETENERS</t>
  </si>
  <si>
    <t>FR011</t>
  </si>
  <si>
    <t>CANDY AND CHEWING GUM</t>
  </si>
  <si>
    <t>FR021</t>
  </si>
  <si>
    <t>JELLY, JAM, PRESERVES, MARMALADE, FRUIT BUTTER</t>
  </si>
  <si>
    <t>FR031</t>
  </si>
  <si>
    <t>BUTTER</t>
  </si>
  <si>
    <t>FS011</t>
  </si>
  <si>
    <t>SALAD DRESSING</t>
  </si>
  <si>
    <t>FS021</t>
  </si>
  <si>
    <t>PEANUT BUTTER</t>
  </si>
  <si>
    <t>FS031</t>
  </si>
  <si>
    <t>LARD AND SHORTENING</t>
  </si>
  <si>
    <t>FS032</t>
  </si>
  <si>
    <t>SOUP</t>
  </si>
  <si>
    <t>FT011</t>
  </si>
  <si>
    <t>MULTIPLE COURSES FROZEN/FREEZE DRIED FOODS</t>
  </si>
  <si>
    <t>FT021</t>
  </si>
  <si>
    <t>POTATO CHIPS AND OTHER SNACKS</t>
  </si>
  <si>
    <t>FT031</t>
  </si>
  <si>
    <t>SALT AND OTHER SEASONINGS AND SPICES</t>
  </si>
  <si>
    <t>FT041</t>
  </si>
  <si>
    <t>OLIVES, PICKLES, RELISHES</t>
  </si>
  <si>
    <t>FT042</t>
  </si>
  <si>
    <t>SAUCES AND GRAVIES</t>
  </si>
  <si>
    <t>FT043</t>
  </si>
  <si>
    <t>OTHER CONDIMENTS (EXCLUDING OLIVES, PICKLES, RELISHES)</t>
  </si>
  <si>
    <t>FT044</t>
  </si>
  <si>
    <t>BABY FOOD</t>
  </si>
  <si>
    <t>FT051</t>
  </si>
  <si>
    <t>PREPARED SALADS</t>
  </si>
  <si>
    <t>FT061</t>
  </si>
  <si>
    <t>SPANISH/MEXICAN FOODS</t>
  </si>
  <si>
    <t>FT062</t>
  </si>
  <si>
    <t>DOG FOOD</t>
  </si>
  <si>
    <t>RB011</t>
  </si>
  <si>
    <t>COLA DRINKS</t>
  </si>
  <si>
    <t>FN011</t>
  </si>
  <si>
    <t>FROZEN NONCARBONATED JUICES AND DRINKS</t>
  </si>
  <si>
    <t>FN021</t>
  </si>
  <si>
    <t>NONFROZEN NONCARBONATED JUICES AND DRINKS</t>
  </si>
  <si>
    <t>FN031</t>
  </si>
  <si>
    <t>ROASTED COFFEE</t>
  </si>
  <si>
    <t>FP011</t>
  </si>
  <si>
    <t>BEER, ALE, AND OTHER MALT BEVERAGES AT HOME</t>
  </si>
  <si>
    <t>FW011</t>
  </si>
  <si>
    <t>WHISKEY AT HOME</t>
  </si>
  <si>
    <t>FW021</t>
  </si>
  <si>
    <t>WINE AT HOME</t>
  </si>
  <si>
    <t>FW031</t>
  </si>
  <si>
    <t>MEN'S SUITS AND FORMAL WEAR</t>
  </si>
  <si>
    <t>AA011</t>
  </si>
  <si>
    <t>MEN'S SPORT COATS AND TAILORED JACKETS</t>
  </si>
  <si>
    <t>AA012</t>
  </si>
  <si>
    <t>MEN'S OUTERWEAR</t>
  </si>
  <si>
    <t>AA013</t>
  </si>
  <si>
    <t>MEN'S UNDERWEAR</t>
  </si>
  <si>
    <t>AA021</t>
  </si>
  <si>
    <t>MEN'S PLASTIC RAINCOATS AND RAIN SETS</t>
  </si>
  <si>
    <t>AA022</t>
  </si>
  <si>
    <t>MEN'S SWIMSUITS</t>
  </si>
  <si>
    <t>AA023</t>
  </si>
  <si>
    <t>MEN'S SHIRTS</t>
  </si>
  <si>
    <t>AA031</t>
  </si>
  <si>
    <t>MEN'S SWEATERS AND VESTS</t>
  </si>
  <si>
    <t>AA032</t>
  </si>
  <si>
    <t>MEN'S PANTS AND SHORTS</t>
  </si>
  <si>
    <t>AA041</t>
  </si>
  <si>
    <t>BOYS' OUTERWEAR</t>
  </si>
  <si>
    <t>AB011</t>
  </si>
  <si>
    <t>BOYS' SHIRTS</t>
  </si>
  <si>
    <t>AB012</t>
  </si>
  <si>
    <t>BOYS' UNDERWEAR</t>
  </si>
  <si>
    <t>AB013</t>
  </si>
  <si>
    <t>BOYS' SUITS AND VESTS</t>
  </si>
  <si>
    <t>AB014</t>
  </si>
  <si>
    <t>BOYS' SWIMSUITS</t>
  </si>
  <si>
    <t>AB015</t>
  </si>
  <si>
    <t>WOMEN'S OUTERWEAR</t>
  </si>
  <si>
    <t>AC011</t>
  </si>
  <si>
    <t>WOMEN'S DRESSES</t>
  </si>
  <si>
    <t>AC021</t>
  </si>
  <si>
    <t>WOMEN'S SWEATERS, AND SWEATER VESTS</t>
  </si>
  <si>
    <t>AC031</t>
  </si>
  <si>
    <t>WOMEN'S SKIRTS</t>
  </si>
  <si>
    <t>AC032</t>
  </si>
  <si>
    <t>WOMEN'S SUITS AND SUIT COMPONENTS</t>
  </si>
  <si>
    <t>AC033</t>
  </si>
  <si>
    <t>WOMEN'S BRAS, BRA SETS, GIRDLES AND CORSELETS</t>
  </si>
  <si>
    <t>AC041</t>
  </si>
  <si>
    <t>WOMEN'S PANTYHOSE AND STOCKINGS</t>
  </si>
  <si>
    <t>AC042</t>
  </si>
  <si>
    <t>WOMEN'S SWIMSUITS</t>
  </si>
  <si>
    <t>AC043</t>
  </si>
  <si>
    <t>GIRLS' DRESSES</t>
  </si>
  <si>
    <t>AD012</t>
  </si>
  <si>
    <t>GIRLS' SWEATERS</t>
  </si>
  <si>
    <t>AD013</t>
  </si>
  <si>
    <t>GIRLS' PANTS AND SHORTS</t>
  </si>
  <si>
    <t>AD014</t>
  </si>
  <si>
    <t>GIRLS' SWIMSUITS</t>
  </si>
  <si>
    <t>AD015</t>
  </si>
  <si>
    <t>GIRLS' UNDERWEAR</t>
  </si>
  <si>
    <t>AD016</t>
  </si>
  <si>
    <t>INFANTS' AND TODDLERS' OUTERWEAR</t>
  </si>
  <si>
    <t>AF011</t>
  </si>
  <si>
    <t>DIAPERS AND DIAPER LINERS</t>
  </si>
  <si>
    <t>AF012</t>
  </si>
  <si>
    <t>MEN'S DRESS AND CASUAL SHOES AND BOOTS</t>
  </si>
  <si>
    <t>AE011</t>
  </si>
  <si>
    <t>BOYS' DRESS AND CASUAL SHOES AND BOOTS</t>
  </si>
  <si>
    <t>AE021</t>
  </si>
  <si>
    <t>GIRLS' DRESS AND CASUAL SHOES AND BOOTS</t>
  </si>
  <si>
    <t>AE022</t>
  </si>
  <si>
    <t>WOMEN'S DRESS AND CASUAL SHOES AND BOOTS</t>
  </si>
  <si>
    <t>AE031</t>
  </si>
  <si>
    <t>REGULAR UNLEADED GASOLINE</t>
  </si>
  <si>
    <t>TB011</t>
  </si>
  <si>
    <t>MIDGRADE UNLEADED GASOLINE</t>
  </si>
  <si>
    <t>TB012</t>
  </si>
  <si>
    <t>PREMUIM UNLEADED GASOLINE</t>
  </si>
  <si>
    <t>TB013</t>
  </si>
  <si>
    <t>AUTOMOTIVE DIESEL FUEL</t>
  </si>
  <si>
    <t>TB021</t>
  </si>
  <si>
    <t>ALTERNATIVE AUTOMOTIVE FUELS</t>
  </si>
  <si>
    <t>TB022</t>
  </si>
  <si>
    <t>FUEL OIL</t>
  </si>
  <si>
    <t>HE011</t>
  </si>
  <si>
    <t>BOTTLED OR TANK GAS</t>
  </si>
  <si>
    <t>HE021</t>
  </si>
  <si>
    <t>PRESCRIPTION DRUGS</t>
  </si>
  <si>
    <t>MA011</t>
  </si>
  <si>
    <t>INTERNAL AND RESPIRATORY OVER-THE-COUNTER DRUGS</t>
  </si>
  <si>
    <t>MB011</t>
  </si>
  <si>
    <t>TOPICALS AND DRESSINGS</t>
  </si>
  <si>
    <t>MB021</t>
  </si>
  <si>
    <t>INDOOR PLANTS</t>
  </si>
  <si>
    <t>HL021</t>
  </si>
  <si>
    <t>FILM</t>
  </si>
  <si>
    <t>RD011</t>
  </si>
  <si>
    <t>DOLLS AND DOLL CLOTHING</t>
  </si>
  <si>
    <t>RE011</t>
  </si>
  <si>
    <t>VIDEO GAME HARDWARE</t>
  </si>
  <si>
    <t>RE012</t>
  </si>
  <si>
    <t>SOAPS AND DETERGENTS</t>
  </si>
  <si>
    <t>HN011</t>
  </si>
  <si>
    <t>HOUSEHOLD PAPER PRODUCTS</t>
  </si>
  <si>
    <t>HN021</t>
  </si>
  <si>
    <t>MISCELLANEOUS PAPER, PLASTIC, FOIL PRODUCTS</t>
  </si>
  <si>
    <t>HN031</t>
  </si>
  <si>
    <t>RE021</t>
  </si>
  <si>
    <t>STROLLER</t>
  </si>
  <si>
    <t>GE013</t>
  </si>
  <si>
    <t>UTILITY PAIL</t>
  </si>
  <si>
    <t>HN012</t>
  </si>
  <si>
    <t>COLORING</t>
  </si>
  <si>
    <t>GB011</t>
  </si>
  <si>
    <t>DENTAL PREPARATIONS</t>
  </si>
  <si>
    <t>GB012</t>
  </si>
  <si>
    <t>DEODORANT, ANTIPERSPIRANT</t>
  </si>
  <si>
    <t>GB013</t>
  </si>
  <si>
    <t>HAIR DRYER</t>
  </si>
  <si>
    <t>GB014</t>
  </si>
  <si>
    <t>LIPSTICK, GLOSS, ROUGE</t>
  </si>
  <si>
    <t>GB021</t>
  </si>
  <si>
    <t>CIGARETTES</t>
  </si>
  <si>
    <t>GA011</t>
  </si>
  <si>
    <t>CIGARS</t>
  </si>
  <si>
    <t>GA021</t>
  </si>
  <si>
    <t>STATIONERY</t>
  </si>
  <si>
    <t>GE011</t>
  </si>
  <si>
    <t>SINGLE COPY NEWSPAPERS AND MAGAZINES</t>
  </si>
  <si>
    <t>RG011</t>
  </si>
  <si>
    <t>NEWSPAPER AND MAGAZINE SUBSCRIPTIONS</t>
  </si>
  <si>
    <t>RG012</t>
  </si>
  <si>
    <t>WATER AND SEWERAGE SERVICE</t>
  </si>
  <si>
    <t>HG011</t>
  </si>
  <si>
    <t>HG021</t>
  </si>
  <si>
    <t>ELECTRICITY</t>
  </si>
  <si>
    <t>HF011</t>
  </si>
  <si>
    <t>UTILITY NATURAL GAS SERVICE</t>
  </si>
  <si>
    <t>HF021</t>
  </si>
  <si>
    <t>GENERAL MEDICAL PRACTICE</t>
  </si>
  <si>
    <t>MC011</t>
  </si>
  <si>
    <t>PROSTHODONTICS AND IMPLANTS</t>
  </si>
  <si>
    <t>MC021</t>
  </si>
  <si>
    <t>MC031</t>
  </si>
  <si>
    <t>MC041</t>
  </si>
  <si>
    <t>HOSPITAL SERVICES</t>
  </si>
  <si>
    <t>MD011</t>
  </si>
  <si>
    <t>NURSING AND CONVALESCENT HOME CARE</t>
  </si>
  <si>
    <t>MD021</t>
  </si>
  <si>
    <t>VEHICLE LEASING</t>
  </si>
  <si>
    <t>TA031</t>
  </si>
  <si>
    <t>AUTOMOBILE RENTAL</t>
  </si>
  <si>
    <t>TA041</t>
  </si>
  <si>
    <t>PAINTING ENTIRE MOTOR VEHICLE</t>
  </si>
  <si>
    <t>TD011</t>
  </si>
  <si>
    <t>SHOCK ABSORBERS AND MACPHERSON STRUTS</t>
  </si>
  <si>
    <t>TD021</t>
  </si>
  <si>
    <t>CLUTCH REPAIR</t>
  </si>
  <si>
    <t>TD031</t>
  </si>
  <si>
    <t>STATE VEHICLE REGISTRATION</t>
  </si>
  <si>
    <t>TF011</t>
  </si>
  <si>
    <t>LOCAL AUTOMOBILE REGISTRATION</t>
  </si>
  <si>
    <t>TF012</t>
  </si>
  <si>
    <t>PARKING FEES</t>
  </si>
  <si>
    <t>TF031</t>
  </si>
  <si>
    <t>AUTOMOBILE SERVICE CLUBS</t>
  </si>
  <si>
    <t>TF032</t>
  </si>
  <si>
    <t>AIRLINE FARE</t>
  </si>
  <si>
    <t>TG011</t>
  </si>
  <si>
    <t>INTERCITY BUS FARE</t>
  </si>
  <si>
    <t>TG021</t>
  </si>
  <si>
    <t>INTERCITY TRAIN FARE</t>
  </si>
  <si>
    <t>TG022</t>
  </si>
  <si>
    <t>SHIP FARES</t>
  </si>
  <si>
    <t>TG023</t>
  </si>
  <si>
    <t>INTRACITY MASS TRANSIT</t>
  </si>
  <si>
    <t>TG031</t>
  </si>
  <si>
    <t>TAXI FARE</t>
  </si>
  <si>
    <t>TG032</t>
  </si>
  <si>
    <t>CLUB MEMBERSHIP DUES</t>
  </si>
  <si>
    <t>RF011</t>
  </si>
  <si>
    <t>ADMIS. TO MOVIES, THEATERS, CONCERTS AND OTHER RECURRING EVENTS</t>
  </si>
  <si>
    <t>RF021</t>
  </si>
  <si>
    <t>ADMISSION TO SPORTING EVENTS</t>
  </si>
  <si>
    <t>RF022</t>
  </si>
  <si>
    <t>FEES FOR LESSONS OR INSTRUCTIONS</t>
  </si>
  <si>
    <t>RF031</t>
  </si>
  <si>
    <t>OTHER INFORMATION SERVICES</t>
  </si>
  <si>
    <t>EE031</t>
  </si>
  <si>
    <t>COMMUNITY ANTENNA OR CABLE TV</t>
  </si>
  <si>
    <t>RA021</t>
  </si>
  <si>
    <t>RENTAL OF VIDEO TAPES AND DISCS</t>
  </si>
  <si>
    <t>RA042</t>
  </si>
  <si>
    <t>PHOTOGRAPHER'S FEES</t>
  </si>
  <si>
    <t>RD021</t>
  </si>
  <si>
    <t>FILM PROCESSING</t>
  </si>
  <si>
    <t>RD022</t>
  </si>
  <si>
    <t>DOGS</t>
  </si>
  <si>
    <t>RB012</t>
  </si>
  <si>
    <t>PET SERVICES</t>
  </si>
  <si>
    <t>RB021</t>
  </si>
  <si>
    <t>VETERINARIAN SERVICES</t>
  </si>
  <si>
    <t>RB022</t>
  </si>
  <si>
    <t>FULL SERVICE MEALS AND SNACKS</t>
  </si>
  <si>
    <t>FV011</t>
  </si>
  <si>
    <t>LIMITED SERVICE MEALS AND SNACKS</t>
  </si>
  <si>
    <t>FV021</t>
  </si>
  <si>
    <t>FOOD AT EMPLOYEE SITES AND SCHOOLS</t>
  </si>
  <si>
    <t>FV031</t>
  </si>
  <si>
    <t>CANDY/GUM/CRACKERS/PASTRIES/CHIPS/SIMILAR ITEMS</t>
  </si>
  <si>
    <t>FV041</t>
  </si>
  <si>
    <t>BEER, ALE, AND OTHER MALT BEVERAGES AWAY FROM HOME</t>
  </si>
  <si>
    <t>FX011</t>
  </si>
  <si>
    <t>HOUSING AT SCHOOL, EXCLUDING BOARD</t>
  </si>
  <si>
    <t>HB011</t>
  </si>
  <si>
    <t>RENTAL OF LODGING AWAY FROM HOME</t>
  </si>
  <si>
    <t>HB021</t>
  </si>
  <si>
    <t>BOARD</t>
  </si>
  <si>
    <t>FV051</t>
  </si>
  <si>
    <t>GD051</t>
  </si>
  <si>
    <t>HD011</t>
  </si>
  <si>
    <t>MOTOR VEHICLE INSURANCE</t>
  </si>
  <si>
    <t>TE011</t>
  </si>
  <si>
    <t>FIRST CLASS MAIL</t>
  </si>
  <si>
    <t>EC011</t>
  </si>
  <si>
    <t>DELIVERY SERVICES</t>
  </si>
  <si>
    <t>EC021</t>
  </si>
  <si>
    <t>ED011</t>
  </si>
  <si>
    <t>INTERSTATE TELEPHONE SERVICES</t>
  </si>
  <si>
    <t>ED021</t>
  </si>
  <si>
    <t>CELLULAR TELEPHONES</t>
  </si>
  <si>
    <t>ED031</t>
  </si>
  <si>
    <t>FULL COLLEGE TUITION AND FIXED FEES</t>
  </si>
  <si>
    <t>EB011</t>
  </si>
  <si>
    <t>ELEMENTARY AND HIGH SCHOOL TUITION AND FIXED FEES</t>
  </si>
  <si>
    <t>EB021</t>
  </si>
  <si>
    <t>DAY CARE AND NURSERY SCHOOL</t>
  </si>
  <si>
    <t>EB031</t>
  </si>
  <si>
    <t>TECHNICAL AND BUSINESS SCHOOL TUITION AND FIXED FEES</t>
  </si>
  <si>
    <t>EB041</t>
  </si>
  <si>
    <t>LEGAL SERVICES</t>
  </si>
  <si>
    <t>GD011</t>
  </si>
  <si>
    <t>FUNERAL EXPENSES</t>
  </si>
  <si>
    <t>GD021</t>
  </si>
  <si>
    <t>TAX RETURN PREPARATION AND OTHER ACCOUNTING FEES</t>
  </si>
  <si>
    <t>GD052</t>
  </si>
  <si>
    <t>BEAUTY PARLOR SERVICES FOR FEMALES</t>
  </si>
  <si>
    <t>GC011</t>
  </si>
  <si>
    <t>COIN-OPERATED APPAREL LAUNDRY AND DRY CLEANING</t>
  </si>
  <si>
    <t>GD031</t>
  </si>
  <si>
    <t>SHOE REPAIR AND OTHER SHOE SERVICES</t>
  </si>
  <si>
    <t>GD041</t>
  </si>
  <si>
    <t>WOMEN'S AND GIRLS' CLOTHING ALTERATIONS AND REPAIRS</t>
  </si>
  <si>
    <t>GD042</t>
  </si>
  <si>
    <t>REPLACEMENT OF SETTING FOR WOMEN'S RINGS</t>
  </si>
  <si>
    <t>GD043</t>
  </si>
  <si>
    <t>CARE OF INVALIDS, ELDERLY AND CONVALESCENTS IN THE HOME</t>
  </si>
  <si>
    <t>GD061</t>
  </si>
  <si>
    <t>DOMESTIC SERVICES</t>
  </si>
  <si>
    <t>HP011</t>
  </si>
  <si>
    <t>GARDENING OR LAWN CARE SERVICES</t>
  </si>
  <si>
    <t>HP021</t>
  </si>
  <si>
    <t>MOVING, STORAGE, FREIGHT EXPRESS</t>
  </si>
  <si>
    <t>HP031</t>
  </si>
  <si>
    <t>APPLIANCE REPAIR</t>
  </si>
  <si>
    <t>HP041</t>
  </si>
  <si>
    <t>REUPHOLSTERY OF FURNITURE</t>
  </si>
  <si>
    <t>HP042</t>
  </si>
  <si>
    <t>INSIDE HOME MAINTENANCE AND REPAIR SERVICES</t>
  </si>
  <si>
    <t>HP043</t>
  </si>
  <si>
    <t>ELI</t>
    <phoneticPr fontId="1"/>
  </si>
  <si>
    <t>Category Name</t>
    <phoneticPr fontId="1"/>
  </si>
  <si>
    <t>Weight</t>
    <phoneticPr fontId="1"/>
  </si>
  <si>
    <t>Frequency</t>
    <phoneticPr fontId="1"/>
  </si>
  <si>
    <t>NIPA codes in PCE Bridge</t>
    <phoneticPr fontId="1"/>
  </si>
  <si>
    <t>NAME</t>
    <phoneticPr fontId="1"/>
  </si>
  <si>
    <t>Stickiness (Quarterly)</t>
  </si>
  <si>
    <t>NIPA in PCE in Bridge</t>
    <phoneticPr fontId="1"/>
  </si>
  <si>
    <t>Housing</t>
    <phoneticPr fontId="1"/>
  </si>
  <si>
    <t>Noncomparable imports and rest-of-the-world adjustment</t>
    <phoneticPr fontId="1"/>
  </si>
  <si>
    <t>Accomodations</t>
    <phoneticPr fontId="1"/>
  </si>
  <si>
    <t>Ambulatory health care services
Rental and leasing services and lessors of intangible assets</t>
    <phoneticPr fontId="1"/>
  </si>
  <si>
    <t>Funds, trusts, and other financial vehicles
Federal Reserve banks, credit intermediation, and related activities</t>
    <phoneticPr fontId="1"/>
  </si>
  <si>
    <t>Securities, commodity contracts, and investments
Federal government enterprises
Federal Reserve banks, credit intermediation, and related activities</t>
    <phoneticPr fontId="1"/>
  </si>
  <si>
    <t>Insurance carriers and related activities</t>
    <phoneticPr fontId="1"/>
  </si>
  <si>
    <t>Broadcasting and telecommunications</t>
    <phoneticPr fontId="1"/>
  </si>
  <si>
    <t>Air transportation
Noncomparable imports and rest-of-the-world adjustment
Water transportation</t>
    <phoneticPr fontId="1"/>
  </si>
  <si>
    <t>Educational services
Broadcasting and telecommunications
Other services, except government
Ambulatory health care services
Hospitals
Nursing and residential care facilities
Social assistance
Amusements, gambling, and recreation industries
Legal services
Miscellaneous professional, scientific, and technical services
Performing arts, spectator sports, museums, and related activities</t>
    <phoneticPr fontId="1"/>
  </si>
  <si>
    <t>MAIN STATION CHARGES</t>
    <phoneticPr fontId="1"/>
  </si>
  <si>
    <t>TENANTS' INSURANCE</t>
    <phoneticPr fontId="1"/>
  </si>
  <si>
    <t>PERIODIC CHK ACT FEES, TRANS FEES, PERS CHKS</t>
    <phoneticPr fontId="1"/>
  </si>
  <si>
    <t>GARBAGE/TRASH COLLECTION</t>
    <phoneticPr fontId="1"/>
  </si>
  <si>
    <t>OPTOMETRISTS/OPTICIANS</t>
    <phoneticPr fontId="1"/>
  </si>
  <si>
    <t>PHYSICAL MEDICINE</t>
    <phoneticPr fontId="1"/>
  </si>
  <si>
    <t>NIPA in PCE bridge</t>
    <phoneticPr fontId="1"/>
  </si>
  <si>
    <t>SUM of Weight for NIPA (produced by MATLAB)</t>
    <phoneticPr fontId="1"/>
  </si>
  <si>
    <t>NIPA Name</t>
    <phoneticPr fontId="1"/>
  </si>
  <si>
    <t>Normalize weight (produced by MATLAB)</t>
    <phoneticPr fontId="1"/>
  </si>
  <si>
    <t>NIPA in PCE Bridge</t>
    <phoneticPr fontId="1"/>
  </si>
  <si>
    <t>Stickiness</t>
    <phoneticPr fontId="1"/>
  </si>
  <si>
    <t>flag for no- matched NIPA</t>
    <phoneticPr fontId="1"/>
  </si>
  <si>
    <t>frequency (by MATLAB)</t>
    <phoneticPr fontId="1"/>
  </si>
  <si>
    <t>stickiness (by MATLAB)</t>
    <phoneticPr fontId="1"/>
  </si>
  <si>
    <t>flag (if not matched 1) (by MATLAB)</t>
    <phoneticPr fontId="1"/>
  </si>
  <si>
    <t>BEA code</t>
  </si>
  <si>
    <t>BEA name</t>
  </si>
  <si>
    <t>111CA</t>
  </si>
  <si>
    <t>Farms</t>
  </si>
  <si>
    <t>113FF</t>
  </si>
  <si>
    <t>Forestry, fishing, and related activities</t>
  </si>
  <si>
    <t>211</t>
  </si>
  <si>
    <t>Oil and gas extraction</t>
  </si>
  <si>
    <t>212</t>
  </si>
  <si>
    <t>Mining, except oil and gas</t>
  </si>
  <si>
    <t>213</t>
  </si>
  <si>
    <t>Support activities for mining</t>
  </si>
  <si>
    <t>22</t>
  </si>
  <si>
    <t>Utilities</t>
  </si>
  <si>
    <t>23</t>
  </si>
  <si>
    <t>Construction</t>
  </si>
  <si>
    <t>321</t>
  </si>
  <si>
    <t>Wood products</t>
  </si>
  <si>
    <t>327</t>
  </si>
  <si>
    <t>Nonmetallic mineral products</t>
  </si>
  <si>
    <t>331</t>
  </si>
  <si>
    <t>Primary metals</t>
  </si>
  <si>
    <t>332</t>
  </si>
  <si>
    <t>Fabricated metal products</t>
  </si>
  <si>
    <t>333</t>
  </si>
  <si>
    <t>Machinery</t>
  </si>
  <si>
    <t>334</t>
  </si>
  <si>
    <t>Computer and electronic products</t>
  </si>
  <si>
    <t>335</t>
  </si>
  <si>
    <t>Electrical equipment, appliances, and components</t>
  </si>
  <si>
    <t>3361MV</t>
  </si>
  <si>
    <t>Motor vehicles, bodies and trailers, and parts</t>
  </si>
  <si>
    <t>3364OT</t>
  </si>
  <si>
    <t>Other transportation equipment</t>
  </si>
  <si>
    <t>337</t>
  </si>
  <si>
    <t>Furniture and related products</t>
  </si>
  <si>
    <t>339</t>
  </si>
  <si>
    <t>Miscellaneous manufacturing</t>
  </si>
  <si>
    <t>311FT</t>
  </si>
  <si>
    <t>Food and beverage and tobacco products</t>
  </si>
  <si>
    <t>313TT</t>
  </si>
  <si>
    <t>Textile mills and textile product mills</t>
  </si>
  <si>
    <t>315AL</t>
  </si>
  <si>
    <t>Apparel and leather and allied products</t>
  </si>
  <si>
    <t>322</t>
  </si>
  <si>
    <t>Paper products</t>
  </si>
  <si>
    <t>323</t>
  </si>
  <si>
    <t>Printing and related support activities</t>
  </si>
  <si>
    <t>324</t>
  </si>
  <si>
    <t>Petroleum and coal products</t>
  </si>
  <si>
    <t>325</t>
  </si>
  <si>
    <t>Chemical products</t>
  </si>
  <si>
    <t>326</t>
  </si>
  <si>
    <t>Plastics and rubber products</t>
  </si>
  <si>
    <t>42</t>
  </si>
  <si>
    <t>Wholesale trade</t>
  </si>
  <si>
    <t>441</t>
  </si>
  <si>
    <t>Motor vehicle and parts dealers</t>
  </si>
  <si>
    <t>445</t>
  </si>
  <si>
    <t>Food and beverage stores</t>
  </si>
  <si>
    <t>452</t>
  </si>
  <si>
    <t>General merchandise stores</t>
  </si>
  <si>
    <t>4A0</t>
  </si>
  <si>
    <t>Other retail</t>
  </si>
  <si>
    <t>481</t>
  </si>
  <si>
    <t>482</t>
  </si>
  <si>
    <t>Rail transportation</t>
  </si>
  <si>
    <t>483</t>
  </si>
  <si>
    <t>484</t>
  </si>
  <si>
    <t>Truck transportation</t>
  </si>
  <si>
    <t>485</t>
  </si>
  <si>
    <t>Transit and ground passenger transportation</t>
  </si>
  <si>
    <t>486</t>
  </si>
  <si>
    <t>Pipeline transportation</t>
  </si>
  <si>
    <t>487OS</t>
  </si>
  <si>
    <t>Other transportation and support activities</t>
  </si>
  <si>
    <t>493</t>
  </si>
  <si>
    <t>Warehousing and storage</t>
  </si>
  <si>
    <t>511</t>
  </si>
  <si>
    <t>Publishing industries, except internet (includes software)</t>
  </si>
  <si>
    <t>512</t>
  </si>
  <si>
    <t>Motion picture and sound recording industries</t>
  </si>
  <si>
    <t>513</t>
  </si>
  <si>
    <t>Broadcasting and telecommunications</t>
  </si>
  <si>
    <t>514</t>
  </si>
  <si>
    <t>Data processing, internet publishing, and other information services</t>
  </si>
  <si>
    <t>521CI</t>
  </si>
  <si>
    <t>Federal Reserve banks, credit intermediation, and related activities</t>
  </si>
  <si>
    <t>523</t>
  </si>
  <si>
    <t>Securities, commodity contracts, and investments</t>
  </si>
  <si>
    <t>524</t>
  </si>
  <si>
    <t>Insurance carriers and related activities</t>
  </si>
  <si>
    <t>525</t>
  </si>
  <si>
    <t>Funds, trusts, and other financial vehicles</t>
  </si>
  <si>
    <t>HS</t>
  </si>
  <si>
    <t>Housing</t>
  </si>
  <si>
    <t>ORE</t>
  </si>
  <si>
    <t>Other real estate</t>
  </si>
  <si>
    <t>532RL</t>
  </si>
  <si>
    <t>Rental and leasing services and lessors of intangible assets</t>
  </si>
  <si>
    <t>5411</t>
  </si>
  <si>
    <t>Legal services</t>
  </si>
  <si>
    <t>5415</t>
  </si>
  <si>
    <t>Computer systems design and related services</t>
  </si>
  <si>
    <t>5412OP</t>
  </si>
  <si>
    <t>Miscellaneous professional, scientific, and technical services</t>
  </si>
  <si>
    <t>55</t>
  </si>
  <si>
    <t>Management of companies and enterprises</t>
  </si>
  <si>
    <t>561</t>
  </si>
  <si>
    <t>Administrative and support services</t>
  </si>
  <si>
    <t>562</t>
  </si>
  <si>
    <t>Waste management and remediation services</t>
  </si>
  <si>
    <t>61</t>
  </si>
  <si>
    <t>Educational services</t>
  </si>
  <si>
    <t>621</t>
  </si>
  <si>
    <t>Ambulatory health care services</t>
  </si>
  <si>
    <t>622</t>
  </si>
  <si>
    <t>Hospitals</t>
  </si>
  <si>
    <t>623</t>
  </si>
  <si>
    <t>Nursing and residential care facilities</t>
  </si>
  <si>
    <t>624</t>
  </si>
  <si>
    <t>Social assistance</t>
  </si>
  <si>
    <t>711AS</t>
  </si>
  <si>
    <t>Performing arts, spectator sports, museums, and related activities</t>
  </si>
  <si>
    <t>713</t>
  </si>
  <si>
    <t>Amusements, gambling, and recreation industries</t>
  </si>
  <si>
    <t>721</t>
  </si>
  <si>
    <t>Accommodation</t>
  </si>
  <si>
    <t>722</t>
  </si>
  <si>
    <t>Food services and drinking places</t>
  </si>
  <si>
    <t>81</t>
  </si>
  <si>
    <t>Other services, except government</t>
  </si>
  <si>
    <t>GFGD</t>
  </si>
  <si>
    <t>Federal general government (defense)</t>
  </si>
  <si>
    <t>GFGN</t>
  </si>
  <si>
    <t>Federal general government (nondefense)</t>
  </si>
  <si>
    <t>GFE</t>
  </si>
  <si>
    <t>Federal government enterprises</t>
  </si>
  <si>
    <t>GSLG</t>
  </si>
  <si>
    <t>State and local general government</t>
  </si>
  <si>
    <t>GSLE</t>
  </si>
  <si>
    <t>State and local government enterprises</t>
  </si>
  <si>
    <t>Used</t>
  </si>
  <si>
    <t>Scrap, used and secondhand goods</t>
  </si>
  <si>
    <t>Other</t>
  </si>
  <si>
    <t>Noncomparable imports and rest-of-the-world adjustment [1]</t>
  </si>
  <si>
    <t>f^c (produced by MATLAB)</t>
    <phoneticPr fontId="1"/>
  </si>
  <si>
    <t>Frequency (Monthly) (produced by MATLAB)</t>
    <phoneticPr fontId="1"/>
  </si>
  <si>
    <t>Stickiness (Quarterly) (produced by MATLAB)</t>
    <phoneticPr fontId="1"/>
  </si>
  <si>
    <t>FROZEN BAKERY PROD \\&amp; FROZEN/REFRIG DOUGHS/BATTERS</t>
    <phoneticPr fontId="1"/>
  </si>
  <si>
    <t>MATERIALS FOR MAKING SLIPCOVERS,UPHOLSTERY,CURTAINS \\&amp; DRAPERIES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</si>
</sst>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theme="1"/>
      <name val="Arial"/>
      <family val="2"/>
    </font>
    <font>
      <sz val="10"/>
      <color theme="1"/>
      <name val="Arial"/>
      <family val="2"/>
    </font>
    <font>
      <b/>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CF37"/>
        <bgColor indexed="64"/>
      </patternFill>
    </fill>
  </fills>
  <borders count="2">
    <border>
      <left/>
      <right/>
      <top/>
      <bottom/>
      <diagonal/>
    </border>
    <border>
      <left/>
      <right/>
      <top/>
      <bottom style="thin">
        <color indexed="64"/>
      </bottom>
      <diagonal/>
    </border>
  </borders>
  <cellStyleXfs count="1">
    <xf numFmtId="0" fontId="0" fillId="0" borderId="0">
      <alignment vertical="center"/>
    </xf>
  </cellStyleXfs>
  <cellXfs count="14">
    <xf numFmtId="0" fontId="0" fillId="0" borderId="0" xfId="0">
      <alignment vertical="center"/>
    </xf>
    <xf numFmtId="0" fontId="2" fillId="0" borderId="0" xfId="0" applyFont="1">
      <alignment vertical="center"/>
    </xf>
    <xf numFmtId="0" fontId="2" fillId="2" borderId="1" xfId="0" applyFont="1" applyFill="1" applyBorder="1">
      <alignment vertical="center"/>
    </xf>
    <xf numFmtId="0" fontId="2" fillId="2" borderId="0" xfId="0" applyFont="1" applyFill="1">
      <alignment vertical="center"/>
    </xf>
    <xf numFmtId="0" fontId="2" fillId="0" borderId="0" xfId="0" applyFont="1" applyAlignment="1">
      <alignment vertical="center" wrapText="1"/>
    </xf>
    <xf numFmtId="0" fontId="2" fillId="0" borderId="0" xfId="0" applyFont="1" applyAlignment="1">
      <alignment vertical="top"/>
    </xf>
    <xf numFmtId="0" fontId="2" fillId="0" borderId="0" xfId="0" applyFont="1" applyAlignment="1">
      <alignment vertical="top" wrapText="1"/>
    </xf>
    <xf numFmtId="0" fontId="3" fillId="2" borderId="1" xfId="0" applyFont="1" applyFill="1" applyBorder="1" applyAlignment="1">
      <alignment vertical="center" wrapText="1"/>
    </xf>
    <xf numFmtId="0" fontId="3" fillId="0" borderId="0" xfId="0" applyFont="1">
      <alignment vertical="center"/>
    </xf>
    <xf numFmtId="0" fontId="4" fillId="3" borderId="1" xfId="0" applyFont="1" applyFill="1" applyBorder="1" applyAlignment="1">
      <alignment vertical="center" wrapText="1"/>
    </xf>
    <xf numFmtId="0" fontId="3" fillId="3" borderId="1" xfId="0" applyFont="1" applyFill="1" applyBorder="1">
      <alignment vertical="center"/>
    </xf>
    <xf numFmtId="0" fontId="4" fillId="3" borderId="0" xfId="0" applyFont="1" applyFill="1" applyAlignment="1">
      <alignment vertical="center" wrapText="1"/>
    </xf>
    <xf numFmtId="0" fontId="3" fillId="3" borderId="1" xfId="0" applyFont="1" applyFill="1" applyBorder="1" applyAlignment="1">
      <alignment vertical="center" wrapText="1"/>
    </xf>
    <xf numFmtId="0" fontId="3" fillId="0" borderId="0" xfId="0" applyFont="1" applyAlignment="1">
      <alignment vertical="center" wrapText="1"/>
    </xf>
  </cellXfs>
  <cellStyles count="1">
    <cellStyle name="標準" xfId="0" builtinId="0"/>
  </cellStyles>
  <dxfs count="0"/>
  <tableStyles count="0" defaultTableStyle="TableStyleMedium2" defaultPivotStyle="PivotStyleLight16"/>
  <colors>
    <mruColors>
      <color rgb="FFFFCF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6216-2A53-4F68-B285-E474A61D8E70}">
  <dimension ref="A1:B77"/>
  <sheetViews>
    <sheetView workbookViewId="0">
      <pane ySplit="1" topLeftCell="A2" activePane="bottomLeft" state="frozen"/>
      <selection pane="bottomLeft" activeCell="A77" sqref="A1:A77"/>
    </sheetView>
  </sheetViews>
  <sheetFormatPr defaultRowHeight="13.8" x14ac:dyDescent="0.45"/>
  <cols>
    <col min="1" max="16384" width="8.796875" style="1"/>
  </cols>
  <sheetData>
    <row r="1" spans="1:2" s="2" customFormat="1" x14ac:dyDescent="0.45">
      <c r="A1" s="2" t="s">
        <v>614</v>
      </c>
      <c r="B1" s="2" t="s">
        <v>615</v>
      </c>
    </row>
    <row r="2" spans="1:2" x14ac:dyDescent="0.45">
      <c r="A2" s="1">
        <v>5</v>
      </c>
      <c r="B2" s="1" t="s">
        <v>0</v>
      </c>
    </row>
    <row r="3" spans="1:2" x14ac:dyDescent="0.45">
      <c r="A3" s="1">
        <v>6</v>
      </c>
      <c r="B3" s="1" t="s">
        <v>1</v>
      </c>
    </row>
    <row r="4" spans="1:2" x14ac:dyDescent="0.45">
      <c r="A4" s="1">
        <v>7</v>
      </c>
      <c r="B4" s="1" t="s">
        <v>2</v>
      </c>
    </row>
    <row r="5" spans="1:2" x14ac:dyDescent="0.45">
      <c r="A5" s="1">
        <v>9</v>
      </c>
      <c r="B5" s="1" t="s">
        <v>3</v>
      </c>
    </row>
    <row r="6" spans="1:2" x14ac:dyDescent="0.45">
      <c r="A6" s="1">
        <v>10</v>
      </c>
      <c r="B6" s="1" t="s">
        <v>4</v>
      </c>
    </row>
    <row r="7" spans="1:2" x14ac:dyDescent="0.45">
      <c r="A7" s="1">
        <v>11</v>
      </c>
      <c r="B7" s="1" t="s">
        <v>5</v>
      </c>
    </row>
    <row r="8" spans="1:2" x14ac:dyDescent="0.45">
      <c r="A8" s="1">
        <v>12</v>
      </c>
      <c r="B8" s="1" t="s">
        <v>6</v>
      </c>
    </row>
    <row r="9" spans="1:2" x14ac:dyDescent="0.45">
      <c r="A9" s="1">
        <v>14</v>
      </c>
      <c r="B9" s="1" t="s">
        <v>7</v>
      </c>
    </row>
    <row r="10" spans="1:2" x14ac:dyDescent="0.45">
      <c r="A10" s="1">
        <v>15</v>
      </c>
      <c r="B10" s="1" t="s">
        <v>8</v>
      </c>
    </row>
    <row r="11" spans="1:2" x14ac:dyDescent="0.45">
      <c r="A11" s="1">
        <v>16</v>
      </c>
      <c r="B11" s="1" t="s">
        <v>9</v>
      </c>
    </row>
    <row r="12" spans="1:2" x14ac:dyDescent="0.45">
      <c r="A12" s="1">
        <v>17</v>
      </c>
      <c r="B12" s="1" t="s">
        <v>10</v>
      </c>
    </row>
    <row r="13" spans="1:2" x14ac:dyDescent="0.45">
      <c r="A13" s="1">
        <v>18</v>
      </c>
      <c r="B13" s="1" t="s">
        <v>11</v>
      </c>
    </row>
    <row r="14" spans="1:2" x14ac:dyDescent="0.45">
      <c r="A14" s="1">
        <v>20</v>
      </c>
      <c r="B14" s="1" t="s">
        <v>12</v>
      </c>
    </row>
    <row r="15" spans="1:2" x14ac:dyDescent="0.45">
      <c r="A15" s="1">
        <v>21</v>
      </c>
      <c r="B15" s="1" t="s">
        <v>13</v>
      </c>
    </row>
    <row r="16" spans="1:2" x14ac:dyDescent="0.45">
      <c r="A16" s="1">
        <v>22</v>
      </c>
      <c r="B16" s="1" t="s">
        <v>14</v>
      </c>
    </row>
    <row r="17" spans="1:2" x14ac:dyDescent="0.45">
      <c r="A17" s="1">
        <v>23</v>
      </c>
      <c r="B17" s="1" t="s">
        <v>15</v>
      </c>
    </row>
    <row r="18" spans="1:2" x14ac:dyDescent="0.45">
      <c r="A18" s="1">
        <v>24</v>
      </c>
      <c r="B18" s="1" t="s">
        <v>16</v>
      </c>
    </row>
    <row r="19" spans="1:2" x14ac:dyDescent="0.45">
      <c r="A19" s="1">
        <v>27</v>
      </c>
      <c r="B19" s="1" t="s">
        <v>17</v>
      </c>
    </row>
    <row r="20" spans="1:2" x14ac:dyDescent="0.45">
      <c r="A20" s="1">
        <v>28</v>
      </c>
      <c r="B20" s="1" t="s">
        <v>18</v>
      </c>
    </row>
    <row r="21" spans="1:2" x14ac:dyDescent="0.45">
      <c r="A21" s="1">
        <v>29</v>
      </c>
      <c r="B21" s="1" t="s">
        <v>19</v>
      </c>
    </row>
    <row r="22" spans="1:2" x14ac:dyDescent="0.45">
      <c r="A22" s="1">
        <v>32</v>
      </c>
      <c r="B22" s="1" t="s">
        <v>20</v>
      </c>
    </row>
    <row r="23" spans="1:2" x14ac:dyDescent="0.45">
      <c r="A23" s="1">
        <v>33</v>
      </c>
      <c r="B23" s="1" t="s">
        <v>21</v>
      </c>
    </row>
    <row r="24" spans="1:2" x14ac:dyDescent="0.45">
      <c r="A24" s="1">
        <v>34</v>
      </c>
      <c r="B24" s="1" t="s">
        <v>22</v>
      </c>
    </row>
    <row r="25" spans="1:2" x14ac:dyDescent="0.45">
      <c r="A25" s="1">
        <v>35</v>
      </c>
      <c r="B25" s="1" t="s">
        <v>23</v>
      </c>
    </row>
    <row r="26" spans="1:2" x14ac:dyDescent="0.45">
      <c r="A26" s="1">
        <v>37</v>
      </c>
      <c r="B26" s="1" t="s">
        <v>24</v>
      </c>
    </row>
    <row r="27" spans="1:2" x14ac:dyDescent="0.45">
      <c r="A27" s="1">
        <v>38</v>
      </c>
      <c r="B27" s="1" t="s">
        <v>25</v>
      </c>
    </row>
    <row r="28" spans="1:2" x14ac:dyDescent="0.45">
      <c r="A28" s="1">
        <v>40</v>
      </c>
      <c r="B28" s="1" t="s">
        <v>26</v>
      </c>
    </row>
    <row r="29" spans="1:2" x14ac:dyDescent="0.45">
      <c r="A29" s="1">
        <v>41</v>
      </c>
      <c r="B29" s="1" t="s">
        <v>27</v>
      </c>
    </row>
    <row r="30" spans="1:2" x14ac:dyDescent="0.45">
      <c r="A30" s="1">
        <v>42</v>
      </c>
      <c r="B30" s="1" t="s">
        <v>28</v>
      </c>
    </row>
    <row r="31" spans="1:2" x14ac:dyDescent="0.45">
      <c r="A31" s="1">
        <v>43</v>
      </c>
      <c r="B31" s="1" t="s">
        <v>29</v>
      </c>
    </row>
    <row r="32" spans="1:2" x14ac:dyDescent="0.45">
      <c r="A32" s="1">
        <v>44</v>
      </c>
      <c r="B32" s="1" t="s">
        <v>30</v>
      </c>
    </row>
    <row r="33" spans="1:2" x14ac:dyDescent="0.45">
      <c r="A33" s="1">
        <v>45</v>
      </c>
      <c r="B33" s="1" t="s">
        <v>31</v>
      </c>
    </row>
    <row r="34" spans="1:2" x14ac:dyDescent="0.45">
      <c r="A34" s="1">
        <v>46</v>
      </c>
      <c r="B34" s="1" t="s">
        <v>32</v>
      </c>
    </row>
    <row r="35" spans="1:2" x14ac:dyDescent="0.45">
      <c r="A35" s="1">
        <v>51</v>
      </c>
      <c r="B35" s="1" t="s">
        <v>33</v>
      </c>
    </row>
    <row r="36" spans="1:2" x14ac:dyDescent="0.45">
      <c r="A36" s="1">
        <v>52</v>
      </c>
      <c r="B36" s="1" t="s">
        <v>34</v>
      </c>
    </row>
    <row r="37" spans="1:2" x14ac:dyDescent="0.45">
      <c r="A37" s="1">
        <v>53</v>
      </c>
      <c r="B37" s="1" t="s">
        <v>35</v>
      </c>
    </row>
    <row r="38" spans="1:2" x14ac:dyDescent="0.45">
      <c r="A38" s="1">
        <v>54</v>
      </c>
      <c r="B38" s="1" t="s">
        <v>36</v>
      </c>
    </row>
    <row r="39" spans="1:2" x14ac:dyDescent="0.45">
      <c r="A39" s="1">
        <v>56</v>
      </c>
      <c r="B39" s="1" t="s">
        <v>37</v>
      </c>
    </row>
    <row r="40" spans="1:2" x14ac:dyDescent="0.45">
      <c r="A40" s="1">
        <v>58</v>
      </c>
      <c r="B40" s="1" t="s">
        <v>38</v>
      </c>
    </row>
    <row r="41" spans="1:2" x14ac:dyDescent="0.45">
      <c r="A41" s="1">
        <v>59</v>
      </c>
      <c r="B41" s="1" t="s">
        <v>39</v>
      </c>
    </row>
    <row r="42" spans="1:2" x14ac:dyDescent="0.45">
      <c r="A42" s="1">
        <v>62</v>
      </c>
      <c r="B42" s="1" t="s">
        <v>40</v>
      </c>
    </row>
    <row r="43" spans="1:2" x14ac:dyDescent="0.45">
      <c r="A43" s="1">
        <v>63</v>
      </c>
      <c r="B43" s="1" t="s">
        <v>41</v>
      </c>
    </row>
    <row r="44" spans="1:2" x14ac:dyDescent="0.45">
      <c r="A44" s="1">
        <v>64</v>
      </c>
      <c r="B44" s="1" t="s">
        <v>42</v>
      </c>
    </row>
    <row r="45" spans="1:2" x14ac:dyDescent="0.45">
      <c r="A45" s="1">
        <v>66</v>
      </c>
      <c r="B45" s="1" t="s">
        <v>43</v>
      </c>
    </row>
    <row r="46" spans="1:2" x14ac:dyDescent="0.45">
      <c r="A46" s="1">
        <v>67</v>
      </c>
      <c r="B46" s="1" t="s">
        <v>44</v>
      </c>
    </row>
    <row r="47" spans="1:2" x14ac:dyDescent="0.45">
      <c r="A47" s="1">
        <v>70</v>
      </c>
      <c r="B47" s="1" t="s">
        <v>45</v>
      </c>
    </row>
    <row r="48" spans="1:2" x14ac:dyDescent="0.45">
      <c r="A48" s="1">
        <v>71</v>
      </c>
      <c r="B48" s="1" t="s">
        <v>46</v>
      </c>
    </row>
    <row r="49" spans="1:2" x14ac:dyDescent="0.45">
      <c r="A49" s="1">
        <v>73</v>
      </c>
      <c r="B49" s="1" t="s">
        <v>47</v>
      </c>
    </row>
    <row r="50" spans="1:2" x14ac:dyDescent="0.45">
      <c r="A50" s="1">
        <v>74</v>
      </c>
      <c r="B50" s="1" t="s">
        <v>48</v>
      </c>
    </row>
    <row r="51" spans="1:2" x14ac:dyDescent="0.45">
      <c r="A51" s="1">
        <v>75</v>
      </c>
      <c r="B51" s="1" t="s">
        <v>49</v>
      </c>
    </row>
    <row r="52" spans="1:2" x14ac:dyDescent="0.45">
      <c r="A52" s="1">
        <v>77</v>
      </c>
      <c r="B52" s="1" t="s">
        <v>50</v>
      </c>
    </row>
    <row r="53" spans="1:2" x14ac:dyDescent="0.45">
      <c r="A53" s="1">
        <v>78</v>
      </c>
      <c r="B53" s="1" t="s">
        <v>51</v>
      </c>
    </row>
    <row r="54" spans="1:2" x14ac:dyDescent="0.45">
      <c r="A54" s="1">
        <v>79</v>
      </c>
      <c r="B54" s="1" t="s">
        <v>52</v>
      </c>
    </row>
    <row r="55" spans="1:2" x14ac:dyDescent="0.45">
      <c r="A55" s="1">
        <v>80</v>
      </c>
      <c r="B55" s="1" t="s">
        <v>53</v>
      </c>
    </row>
    <row r="56" spans="1:2" x14ac:dyDescent="0.45">
      <c r="A56" s="1">
        <v>83</v>
      </c>
      <c r="B56" s="1" t="s">
        <v>54</v>
      </c>
    </row>
    <row r="57" spans="1:2" x14ac:dyDescent="0.45">
      <c r="A57" s="1">
        <v>84</v>
      </c>
      <c r="B57" s="1" t="s">
        <v>55</v>
      </c>
    </row>
    <row r="58" spans="1:2" x14ac:dyDescent="0.45">
      <c r="A58" s="1">
        <v>85</v>
      </c>
      <c r="B58" s="1" t="s">
        <v>56</v>
      </c>
    </row>
    <row r="59" spans="1:2" x14ac:dyDescent="0.45">
      <c r="A59" s="1">
        <v>88</v>
      </c>
      <c r="B59" s="1" t="s">
        <v>57</v>
      </c>
    </row>
    <row r="60" spans="1:2" x14ac:dyDescent="0.45">
      <c r="A60" s="1">
        <v>89</v>
      </c>
      <c r="B60" s="1" t="s">
        <v>58</v>
      </c>
    </row>
    <row r="61" spans="1:2" x14ac:dyDescent="0.45">
      <c r="A61" s="1">
        <v>91</v>
      </c>
      <c r="B61" s="1" t="s">
        <v>59</v>
      </c>
    </row>
    <row r="62" spans="1:2" x14ac:dyDescent="0.45">
      <c r="A62" s="1">
        <v>92</v>
      </c>
      <c r="B62" s="1" t="s">
        <v>60</v>
      </c>
    </row>
    <row r="63" spans="1:2" x14ac:dyDescent="0.45">
      <c r="A63" s="1">
        <v>93</v>
      </c>
      <c r="B63" s="1" t="s">
        <v>61</v>
      </c>
    </row>
    <row r="64" spans="1:2" x14ac:dyDescent="0.45">
      <c r="A64" s="1">
        <v>94</v>
      </c>
      <c r="B64" s="1" t="s">
        <v>62</v>
      </c>
    </row>
    <row r="65" spans="1:2" x14ac:dyDescent="0.45">
      <c r="A65" s="1">
        <v>97</v>
      </c>
      <c r="B65" s="1" t="s">
        <v>63</v>
      </c>
    </row>
    <row r="66" spans="1:2" x14ac:dyDescent="0.45">
      <c r="A66" s="1">
        <v>98</v>
      </c>
      <c r="B66" s="1" t="s">
        <v>64</v>
      </c>
    </row>
    <row r="67" spans="1:2" x14ac:dyDescent="0.45">
      <c r="A67" s="1">
        <v>99</v>
      </c>
      <c r="B67" s="1" t="s">
        <v>65</v>
      </c>
    </row>
    <row r="68" spans="1:2" x14ac:dyDescent="0.45">
      <c r="A68" s="1">
        <v>101</v>
      </c>
      <c r="B68" s="1" t="s">
        <v>66</v>
      </c>
    </row>
    <row r="69" spans="1:2" x14ac:dyDescent="0.45">
      <c r="A69" s="1">
        <v>102</v>
      </c>
      <c r="B69" s="1" t="s">
        <v>67</v>
      </c>
    </row>
    <row r="70" spans="1:2" x14ac:dyDescent="0.45">
      <c r="A70" s="1">
        <v>103</v>
      </c>
      <c r="B70" s="1" t="s">
        <v>68</v>
      </c>
    </row>
    <row r="71" spans="1:2" x14ac:dyDescent="0.45">
      <c r="A71" s="1">
        <v>104</v>
      </c>
      <c r="B71" s="1" t="s">
        <v>69</v>
      </c>
    </row>
    <row r="72" spans="1:2" x14ac:dyDescent="0.45">
      <c r="A72" s="1">
        <v>105</v>
      </c>
      <c r="B72" s="1" t="s">
        <v>70</v>
      </c>
    </row>
    <row r="73" spans="1:2" x14ac:dyDescent="0.45">
      <c r="A73" s="1">
        <v>106</v>
      </c>
      <c r="B73" s="1" t="s">
        <v>71</v>
      </c>
    </row>
    <row r="74" spans="1:2" x14ac:dyDescent="0.45">
      <c r="A74" s="1">
        <v>107</v>
      </c>
      <c r="B74" s="1" t="s">
        <v>72</v>
      </c>
    </row>
    <row r="75" spans="1:2" x14ac:dyDescent="0.45">
      <c r="A75" s="1">
        <v>109</v>
      </c>
      <c r="B75" s="1" t="s">
        <v>73</v>
      </c>
    </row>
    <row r="76" spans="1:2" x14ac:dyDescent="0.45">
      <c r="A76" s="1">
        <v>110</v>
      </c>
      <c r="B76" s="1" t="s">
        <v>74</v>
      </c>
    </row>
    <row r="77" spans="1:2" x14ac:dyDescent="0.45">
      <c r="A77" s="1">
        <v>111</v>
      </c>
      <c r="B77" s="1" t="s">
        <v>75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AEA60-468C-466C-8601-417AB51F78DB}">
  <dimension ref="A1:H272"/>
  <sheetViews>
    <sheetView tabSelected="1" workbookViewId="0">
      <pane ySplit="1" topLeftCell="A168" activePane="bottomLeft" state="frozen"/>
      <selection pane="bottomLeft" activeCell="A189" sqref="A189"/>
    </sheetView>
  </sheetViews>
  <sheetFormatPr defaultRowHeight="13.2" x14ac:dyDescent="0.45"/>
  <cols>
    <col min="1" max="1" width="64.796875" style="8" customWidth="1"/>
    <col min="2" max="2" width="8.796875" style="8"/>
    <col min="3" max="3" width="10.19921875" style="8" customWidth="1"/>
    <col min="4" max="4" width="19.5" style="8" customWidth="1"/>
    <col min="5" max="5" width="15.09765625" style="8" customWidth="1"/>
    <col min="6" max="6" width="13.09765625" style="8" customWidth="1"/>
    <col min="7" max="7" width="12.3984375" style="8" customWidth="1"/>
    <col min="8" max="8" width="13.296875" style="8" customWidth="1"/>
    <col min="9" max="16384" width="8.796875" style="8"/>
  </cols>
  <sheetData>
    <row r="1" spans="1:8" s="7" customFormat="1" ht="39.6" x14ac:dyDescent="0.45">
      <c r="A1" s="7" t="s">
        <v>611</v>
      </c>
      <c r="B1" s="7" t="s">
        <v>610</v>
      </c>
      <c r="C1" s="7" t="s">
        <v>634</v>
      </c>
      <c r="D1" s="7" t="s">
        <v>636</v>
      </c>
      <c r="E1" s="7" t="s">
        <v>613</v>
      </c>
      <c r="F1" s="7" t="s">
        <v>612</v>
      </c>
      <c r="G1" s="9" t="s">
        <v>635</v>
      </c>
      <c r="H1" s="9" t="s">
        <v>637</v>
      </c>
    </row>
    <row r="2" spans="1:8" x14ac:dyDescent="0.45">
      <c r="A2" s="8" t="s">
        <v>76</v>
      </c>
      <c r="B2" s="8" t="s">
        <v>77</v>
      </c>
      <c r="C2" s="8">
        <v>5</v>
      </c>
      <c r="D2" s="8" t="s">
        <v>0</v>
      </c>
      <c r="E2" s="8">
        <v>31.332042180000002</v>
      </c>
      <c r="F2" s="8">
        <v>3.330112232331079</v>
      </c>
      <c r="G2" s="8">
        <v>6.6336063946435253</v>
      </c>
      <c r="H2" s="8">
        <v>0.50200630459776197</v>
      </c>
    </row>
    <row r="3" spans="1:8" x14ac:dyDescent="0.45">
      <c r="A3" s="8" t="s">
        <v>78</v>
      </c>
      <c r="B3" s="8" t="s">
        <v>79</v>
      </c>
      <c r="C3" s="8">
        <v>5</v>
      </c>
      <c r="D3" s="8" t="s">
        <v>0</v>
      </c>
      <c r="E3" s="8">
        <v>7.4775673000000005</v>
      </c>
      <c r="F3" s="8">
        <v>3.3034941623124467</v>
      </c>
      <c r="G3" s="8">
        <v>6.6336063946435253</v>
      </c>
      <c r="H3" s="8">
        <v>0.49799369540223815</v>
      </c>
    </row>
    <row r="4" spans="1:8" x14ac:dyDescent="0.45">
      <c r="A4" s="8" t="s">
        <v>80</v>
      </c>
      <c r="B4" s="8" t="s">
        <v>81</v>
      </c>
      <c r="C4" s="8">
        <v>6</v>
      </c>
      <c r="D4" s="8" t="s">
        <v>1</v>
      </c>
      <c r="E4" s="8">
        <v>100</v>
      </c>
      <c r="F4" s="8">
        <v>2.5619727917933801</v>
      </c>
      <c r="G4" s="8">
        <v>2.5619727917933801</v>
      </c>
      <c r="H4" s="8">
        <v>1</v>
      </c>
    </row>
    <row r="5" spans="1:8" x14ac:dyDescent="0.45">
      <c r="A5" s="8" t="s">
        <v>82</v>
      </c>
      <c r="B5" s="8" t="s">
        <v>83</v>
      </c>
      <c r="C5" s="8">
        <v>7</v>
      </c>
      <c r="D5" s="8" t="s">
        <v>2</v>
      </c>
      <c r="E5" s="8">
        <v>29.666260220000002</v>
      </c>
      <c r="F5" s="8">
        <v>0.35296701024707694</v>
      </c>
      <c r="G5" s="8">
        <v>0.73707504051595252</v>
      </c>
      <c r="H5" s="8">
        <v>0.47887527164127014</v>
      </c>
    </row>
    <row r="6" spans="1:8" x14ac:dyDescent="0.45">
      <c r="A6" s="8" t="s">
        <v>84</v>
      </c>
      <c r="B6" s="8" t="s">
        <v>85</v>
      </c>
      <c r="C6" s="8">
        <v>7</v>
      </c>
      <c r="D6" s="8" t="s">
        <v>2</v>
      </c>
      <c r="E6" s="8">
        <v>11.013008579999999</v>
      </c>
      <c r="F6" s="8">
        <v>0.18831161013181816</v>
      </c>
      <c r="G6" s="8">
        <v>0.73707504051595252</v>
      </c>
      <c r="H6" s="8">
        <v>0.25548499105328548</v>
      </c>
    </row>
    <row r="7" spans="1:8" x14ac:dyDescent="0.45">
      <c r="A7" s="8" t="s">
        <v>86</v>
      </c>
      <c r="B7" s="8" t="s">
        <v>87</v>
      </c>
      <c r="C7" s="8">
        <v>7</v>
      </c>
      <c r="D7" s="8" t="s">
        <v>2</v>
      </c>
      <c r="E7" s="8">
        <v>15.444243329999999</v>
      </c>
      <c r="F7" s="8">
        <v>0.1957964201370575</v>
      </c>
      <c r="G7" s="8">
        <v>0.73707504051595252</v>
      </c>
      <c r="H7" s="8">
        <v>0.26563973730544455</v>
      </c>
    </row>
    <row r="8" spans="1:8" x14ac:dyDescent="0.45">
      <c r="A8" s="8" t="s">
        <v>88</v>
      </c>
      <c r="B8" s="8" t="s">
        <v>89</v>
      </c>
      <c r="C8" s="8">
        <v>9</v>
      </c>
      <c r="D8" s="8" t="s">
        <v>3</v>
      </c>
      <c r="E8" s="8">
        <v>17.452541329999999</v>
      </c>
      <c r="F8" s="8">
        <v>0.11886059008320243</v>
      </c>
      <c r="G8" s="8">
        <v>2.2048838815434189</v>
      </c>
      <c r="H8" s="8">
        <v>5.3907868381712694E-2</v>
      </c>
    </row>
    <row r="9" spans="1:8" x14ac:dyDescent="0.45">
      <c r="A9" s="8" t="s">
        <v>90</v>
      </c>
      <c r="B9" s="8" t="s">
        <v>91</v>
      </c>
      <c r="C9" s="8">
        <v>9</v>
      </c>
      <c r="D9" s="8" t="s">
        <v>3</v>
      </c>
      <c r="E9" s="8">
        <v>21.772300470000001</v>
      </c>
      <c r="F9" s="8">
        <v>7.6085890053260136E-2</v>
      </c>
      <c r="G9" s="8">
        <v>2.2048838815434189</v>
      </c>
      <c r="H9" s="8">
        <v>3.4507889821390504E-2</v>
      </c>
    </row>
    <row r="10" spans="1:8" x14ac:dyDescent="0.45">
      <c r="A10" s="8" t="s">
        <v>92</v>
      </c>
      <c r="B10" s="8" t="s">
        <v>93</v>
      </c>
      <c r="C10" s="8">
        <v>9</v>
      </c>
      <c r="D10" s="8" t="s">
        <v>3</v>
      </c>
      <c r="E10" s="8">
        <v>21.941176470000002</v>
      </c>
      <c r="F10" s="8">
        <v>7.2277790050594468E-2</v>
      </c>
      <c r="G10" s="8">
        <v>2.2048838815434189</v>
      </c>
      <c r="H10" s="8">
        <v>3.2780769389089102E-2</v>
      </c>
    </row>
    <row r="11" spans="1:8" x14ac:dyDescent="0.45">
      <c r="A11" s="8" t="s">
        <v>94</v>
      </c>
      <c r="B11" s="8" t="s">
        <v>95</v>
      </c>
      <c r="C11" s="8">
        <v>9</v>
      </c>
      <c r="D11" s="8" t="s">
        <v>3</v>
      </c>
      <c r="E11" s="8">
        <v>36.905606810000002</v>
      </c>
      <c r="F11" s="8">
        <v>6.2498310043748825E-2</v>
      </c>
      <c r="G11" s="8">
        <v>2.2048838815434189</v>
      </c>
      <c r="H11" s="8">
        <v>2.8345397490955399E-2</v>
      </c>
    </row>
    <row r="12" spans="1:8" x14ac:dyDescent="0.45">
      <c r="A12" s="8" t="s">
        <v>96</v>
      </c>
      <c r="B12" s="8" t="s">
        <v>97</v>
      </c>
      <c r="C12" s="8">
        <v>9</v>
      </c>
      <c r="D12" s="8" t="s">
        <v>3</v>
      </c>
      <c r="E12" s="8">
        <v>34.712441309999996</v>
      </c>
      <c r="F12" s="8">
        <v>7.778860005445204E-2</v>
      </c>
      <c r="G12" s="8">
        <v>2.2048838815434189</v>
      </c>
      <c r="H12" s="8">
        <v>3.5280134571077738E-2</v>
      </c>
    </row>
    <row r="13" spans="1:8" x14ac:dyDescent="0.45">
      <c r="A13" s="8" t="s">
        <v>98</v>
      </c>
      <c r="B13" s="8" t="s">
        <v>99</v>
      </c>
      <c r="C13" s="8">
        <v>9</v>
      </c>
      <c r="D13" s="8" t="s">
        <v>3</v>
      </c>
      <c r="E13" s="8">
        <v>23</v>
      </c>
      <c r="F13" s="8">
        <v>0.18439317012907525</v>
      </c>
      <c r="G13" s="8">
        <v>2.2048838815434189</v>
      </c>
      <c r="H13" s="8">
        <v>8.3629424511915795E-2</v>
      </c>
    </row>
    <row r="14" spans="1:8" x14ac:dyDescent="0.45">
      <c r="A14" s="8" t="s">
        <v>100</v>
      </c>
      <c r="B14" s="8" t="s">
        <v>101</v>
      </c>
      <c r="C14" s="8">
        <v>9</v>
      </c>
      <c r="D14" s="8" t="s">
        <v>3</v>
      </c>
      <c r="E14" s="8">
        <v>18.948824340000002</v>
      </c>
      <c r="F14" s="8">
        <v>0.2430468801701329</v>
      </c>
      <c r="G14" s="8">
        <v>2.2048838815434189</v>
      </c>
      <c r="H14" s="8">
        <v>0.11023114741081062</v>
      </c>
    </row>
    <row r="15" spans="1:8" x14ac:dyDescent="0.45">
      <c r="A15" s="8" t="s">
        <v>102</v>
      </c>
      <c r="B15" s="8" t="s">
        <v>103</v>
      </c>
      <c r="C15" s="8">
        <v>9</v>
      </c>
      <c r="D15" s="8" t="s">
        <v>3</v>
      </c>
      <c r="E15" s="8">
        <v>30.349531120000002</v>
      </c>
      <c r="F15" s="8">
        <v>0.22258782015581155</v>
      </c>
      <c r="G15" s="8">
        <v>2.2048838815434189</v>
      </c>
      <c r="H15" s="8">
        <v>0.10095217349949516</v>
      </c>
    </row>
    <row r="16" spans="1:8" x14ac:dyDescent="0.45">
      <c r="A16" s="8" t="s">
        <v>104</v>
      </c>
      <c r="B16" s="8" t="s">
        <v>105</v>
      </c>
      <c r="C16" s="8">
        <v>9</v>
      </c>
      <c r="D16" s="8" t="s">
        <v>3</v>
      </c>
      <c r="E16" s="8">
        <v>26.332094179999999</v>
      </c>
      <c r="F16" s="8">
        <v>0.20816458014571523</v>
      </c>
      <c r="G16" s="8">
        <v>2.2048838815434189</v>
      </c>
      <c r="H16" s="8">
        <v>9.4410677082912869E-2</v>
      </c>
    </row>
    <row r="17" spans="1:8" x14ac:dyDescent="0.45">
      <c r="A17" s="8" t="s">
        <v>106</v>
      </c>
      <c r="B17" s="8" t="s">
        <v>107</v>
      </c>
      <c r="C17" s="8">
        <v>9</v>
      </c>
      <c r="D17" s="8" t="s">
        <v>3</v>
      </c>
      <c r="E17" s="8">
        <v>22.55244755</v>
      </c>
      <c r="F17" s="8">
        <v>0.1954778401368345</v>
      </c>
      <c r="G17" s="8">
        <v>2.2048838815434189</v>
      </c>
      <c r="H17" s="8">
        <v>8.865675048610723E-2</v>
      </c>
    </row>
    <row r="18" spans="1:8" x14ac:dyDescent="0.45">
      <c r="A18" s="8" t="s">
        <v>108</v>
      </c>
      <c r="B18" s="8" t="s">
        <v>109</v>
      </c>
      <c r="C18" s="8">
        <v>9</v>
      </c>
      <c r="D18" s="8" t="s">
        <v>3</v>
      </c>
      <c r="E18" s="8">
        <v>26.408450700000003</v>
      </c>
      <c r="F18" s="8">
        <v>0.21777940015244562</v>
      </c>
      <c r="G18" s="8">
        <v>2.2048838815434189</v>
      </c>
      <c r="H18" s="8">
        <v>9.8771369311294543E-2</v>
      </c>
    </row>
    <row r="19" spans="1:8" x14ac:dyDescent="0.45">
      <c r="A19" s="8" t="s">
        <v>110</v>
      </c>
      <c r="B19" s="8" t="s">
        <v>111</v>
      </c>
      <c r="C19" s="8">
        <v>9</v>
      </c>
      <c r="D19" s="8" t="s">
        <v>3</v>
      </c>
      <c r="E19" s="8">
        <v>9.7708081999999994</v>
      </c>
      <c r="F19" s="8">
        <v>6.1961960043373371E-2</v>
      </c>
      <c r="G19" s="8">
        <v>2.2048838815434189</v>
      </c>
      <c r="H19" s="8">
        <v>2.8102142050219894E-2</v>
      </c>
    </row>
    <row r="20" spans="1:8" x14ac:dyDescent="0.45">
      <c r="A20" s="8" t="s">
        <v>112</v>
      </c>
      <c r="B20" s="8" t="s">
        <v>113</v>
      </c>
      <c r="C20" s="8">
        <v>9</v>
      </c>
      <c r="D20" s="8" t="s">
        <v>3</v>
      </c>
      <c r="E20" s="8">
        <v>19.246861920000001</v>
      </c>
      <c r="F20" s="8">
        <v>6.8881280048216906E-2</v>
      </c>
      <c r="G20" s="8">
        <v>2.2048838815434189</v>
      </c>
      <c r="H20" s="8">
        <v>3.1240320918850387E-2</v>
      </c>
    </row>
    <row r="21" spans="1:8" x14ac:dyDescent="0.45">
      <c r="A21" s="8" t="s">
        <v>114</v>
      </c>
      <c r="B21" s="8" t="s">
        <v>115</v>
      </c>
      <c r="C21" s="8">
        <v>9</v>
      </c>
      <c r="D21" s="8" t="s">
        <v>3</v>
      </c>
      <c r="E21" s="8">
        <v>18.070911170000002</v>
      </c>
      <c r="F21" s="8">
        <v>0.11100162007770115</v>
      </c>
      <c r="G21" s="8">
        <v>2.2048838815434189</v>
      </c>
      <c r="H21" s="8">
        <v>5.034352194547316E-2</v>
      </c>
    </row>
    <row r="22" spans="1:8" x14ac:dyDescent="0.45">
      <c r="A22" s="8" t="s">
        <v>116</v>
      </c>
      <c r="B22" s="8" t="s">
        <v>117</v>
      </c>
      <c r="C22" s="8">
        <v>9</v>
      </c>
      <c r="D22" s="8" t="s">
        <v>3</v>
      </c>
      <c r="E22" s="8">
        <v>17.2</v>
      </c>
      <c r="F22" s="8">
        <v>4.489802003142862E-2</v>
      </c>
      <c r="G22" s="8">
        <v>2.2048838815434189</v>
      </c>
      <c r="H22" s="8">
        <v>2.0362986190456435E-2</v>
      </c>
    </row>
    <row r="23" spans="1:8" x14ac:dyDescent="0.45">
      <c r="A23" s="8" t="s">
        <v>118</v>
      </c>
      <c r="B23" s="8" t="s">
        <v>119</v>
      </c>
      <c r="C23" s="8">
        <v>9</v>
      </c>
      <c r="D23" s="8" t="s">
        <v>3</v>
      </c>
      <c r="E23" s="8">
        <v>15.39029341</v>
      </c>
      <c r="F23" s="8">
        <v>0.23918013016742615</v>
      </c>
      <c r="G23" s="8">
        <v>2.2048838815434189</v>
      </c>
      <c r="H23" s="8">
        <v>0.1084774269382386</v>
      </c>
    </row>
    <row r="24" spans="1:8" x14ac:dyDescent="0.45">
      <c r="A24" s="8" t="s">
        <v>120</v>
      </c>
      <c r="B24" s="8" t="s">
        <v>121</v>
      </c>
      <c r="C24" s="8">
        <v>10</v>
      </c>
      <c r="D24" s="8" t="s">
        <v>4</v>
      </c>
      <c r="E24" s="8">
        <v>36.393264530000003</v>
      </c>
      <c r="F24" s="8">
        <v>6.5160470045612345E-2</v>
      </c>
      <c r="G24" s="8">
        <v>0.46216922032351859</v>
      </c>
      <c r="H24" s="8">
        <v>0.14098833756172685</v>
      </c>
    </row>
    <row r="25" spans="1:8" x14ac:dyDescent="0.45">
      <c r="A25" s="8" t="s">
        <v>122</v>
      </c>
      <c r="B25" s="8" t="s">
        <v>123</v>
      </c>
      <c r="C25" s="8">
        <v>10</v>
      </c>
      <c r="D25" s="8" t="s">
        <v>4</v>
      </c>
      <c r="E25" s="8">
        <v>37.713675209999998</v>
      </c>
      <c r="F25" s="8">
        <v>6.9824400048877092E-2</v>
      </c>
      <c r="G25" s="8">
        <v>0.46216922032351859</v>
      </c>
      <c r="H25" s="8">
        <v>0.15107972789706764</v>
      </c>
    </row>
    <row r="26" spans="1:8" x14ac:dyDescent="0.45">
      <c r="A26" s="8" t="s">
        <v>124</v>
      </c>
      <c r="B26" s="8" t="s">
        <v>125</v>
      </c>
      <c r="C26" s="8">
        <v>10</v>
      </c>
      <c r="D26" s="8" t="s">
        <v>4</v>
      </c>
      <c r="E26" s="8">
        <v>42.984014209999998</v>
      </c>
      <c r="F26" s="8">
        <v>7.69944000538961E-2</v>
      </c>
      <c r="G26" s="8">
        <v>0.46216922032351859</v>
      </c>
      <c r="H26" s="8">
        <v>0.16659352606822236</v>
      </c>
    </row>
    <row r="27" spans="1:8" x14ac:dyDescent="0.45">
      <c r="A27" s="8" t="s">
        <v>126</v>
      </c>
      <c r="B27" s="8" t="s">
        <v>127</v>
      </c>
      <c r="C27" s="8">
        <v>10</v>
      </c>
      <c r="D27" s="8" t="s">
        <v>4</v>
      </c>
      <c r="E27" s="8">
        <v>29.396092359999997</v>
      </c>
      <c r="F27" s="8">
        <v>6.7787390047451185E-2</v>
      </c>
      <c r="G27" s="8">
        <v>0.46216922032351859</v>
      </c>
      <c r="H27" s="8">
        <v>0.14667222970841717</v>
      </c>
    </row>
    <row r="28" spans="1:8" x14ac:dyDescent="0.45">
      <c r="A28" s="8" t="s">
        <v>128</v>
      </c>
      <c r="B28" s="8" t="s">
        <v>129</v>
      </c>
      <c r="C28" s="8">
        <v>10</v>
      </c>
      <c r="D28" s="8" t="s">
        <v>4</v>
      </c>
      <c r="E28" s="8">
        <v>25.583203729999997</v>
      </c>
      <c r="F28" s="8">
        <v>4.8753030034127127E-2</v>
      </c>
      <c r="G28" s="8">
        <v>0.46216922032351859</v>
      </c>
      <c r="H28" s="8">
        <v>0.10548740134619954</v>
      </c>
    </row>
    <row r="29" spans="1:8" x14ac:dyDescent="0.45">
      <c r="A29" s="8" t="s">
        <v>130</v>
      </c>
      <c r="B29" s="8" t="s">
        <v>131</v>
      </c>
      <c r="C29" s="8">
        <v>10</v>
      </c>
      <c r="D29" s="8" t="s">
        <v>4</v>
      </c>
      <c r="E29" s="8">
        <v>20.97307511</v>
      </c>
      <c r="F29" s="8">
        <v>6.0112070042078462E-2</v>
      </c>
      <c r="G29" s="8">
        <v>0.46216922032351859</v>
      </c>
      <c r="H29" s="8">
        <v>0.13006506577828786</v>
      </c>
    </row>
    <row r="30" spans="1:8" x14ac:dyDescent="0.45">
      <c r="A30" s="8" t="s">
        <v>132</v>
      </c>
      <c r="B30" s="8" t="s">
        <v>133</v>
      </c>
      <c r="C30" s="8">
        <v>10</v>
      </c>
      <c r="D30" s="8" t="s">
        <v>4</v>
      </c>
      <c r="E30" s="8">
        <v>13.91429947</v>
      </c>
      <c r="F30" s="8">
        <v>7.3537460051476239E-2</v>
      </c>
      <c r="G30" s="8">
        <v>0.46216922032351859</v>
      </c>
      <c r="H30" s="8">
        <v>0.15911371164007848</v>
      </c>
    </row>
    <row r="31" spans="1:8" x14ac:dyDescent="0.45">
      <c r="A31" s="8" t="s">
        <v>134</v>
      </c>
      <c r="B31" s="8" t="s">
        <v>135</v>
      </c>
      <c r="C31" s="8">
        <v>11</v>
      </c>
      <c r="D31" s="8" t="s">
        <v>5</v>
      </c>
      <c r="E31" s="8">
        <v>15.909090910000002</v>
      </c>
      <c r="F31" s="8">
        <v>5.8284690040799302E-2</v>
      </c>
      <c r="G31" s="8">
        <v>0.27229849019060898</v>
      </c>
      <c r="H31" s="8">
        <v>0.21404705549413811</v>
      </c>
    </row>
    <row r="32" spans="1:8" x14ac:dyDescent="0.45">
      <c r="A32" s="8" t="s">
        <v>136</v>
      </c>
      <c r="B32" s="8" t="s">
        <v>137</v>
      </c>
      <c r="C32" s="8">
        <v>11</v>
      </c>
      <c r="D32" s="8" t="s">
        <v>5</v>
      </c>
      <c r="E32" s="8">
        <v>23.888292159999999</v>
      </c>
      <c r="F32" s="8">
        <v>7.342676005139874E-2</v>
      </c>
      <c r="G32" s="8">
        <v>0.27229849019060898</v>
      </c>
      <c r="H32" s="8">
        <v>0.26965540646222458</v>
      </c>
    </row>
    <row r="33" spans="1:8" x14ac:dyDescent="0.45">
      <c r="A33" s="8" t="s">
        <v>138</v>
      </c>
      <c r="B33" s="8" t="s">
        <v>139</v>
      </c>
      <c r="C33" s="8">
        <v>11</v>
      </c>
      <c r="D33" s="8" t="s">
        <v>5</v>
      </c>
      <c r="E33" s="8">
        <v>23.296354990000001</v>
      </c>
      <c r="F33" s="8">
        <v>3.0541850021379303E-2</v>
      </c>
      <c r="G33" s="8">
        <v>0.27229849019060898</v>
      </c>
      <c r="H33" s="8">
        <v>0.11216312657481135</v>
      </c>
    </row>
    <row r="34" spans="1:8" x14ac:dyDescent="0.45">
      <c r="A34" s="8" t="s">
        <v>140</v>
      </c>
      <c r="B34" s="8" t="s">
        <v>141</v>
      </c>
      <c r="C34" s="8">
        <v>11</v>
      </c>
      <c r="D34" s="8" t="s">
        <v>5</v>
      </c>
      <c r="E34" s="8">
        <v>17.974379500000001</v>
      </c>
      <c r="F34" s="8">
        <v>4.1829430029280606E-2</v>
      </c>
      <c r="G34" s="8">
        <v>0.27229849019060898</v>
      </c>
      <c r="H34" s="8">
        <v>0.15361609239919033</v>
      </c>
    </row>
    <row r="35" spans="1:8" x14ac:dyDescent="0.45">
      <c r="A35" s="8" t="s">
        <v>142</v>
      </c>
      <c r="B35" s="8" t="s">
        <v>143</v>
      </c>
      <c r="C35" s="8">
        <v>11</v>
      </c>
      <c r="D35" s="8" t="s">
        <v>5</v>
      </c>
      <c r="E35" s="8">
        <v>12.598425199999999</v>
      </c>
      <c r="F35" s="8">
        <v>6.821576004775104E-2</v>
      </c>
      <c r="G35" s="8">
        <v>0.27229849019060898</v>
      </c>
      <c r="H35" s="8">
        <v>0.25051831906963568</v>
      </c>
    </row>
    <row r="36" spans="1:8" x14ac:dyDescent="0.45">
      <c r="A36" s="8" t="s">
        <v>144</v>
      </c>
      <c r="B36" s="8" t="s">
        <v>145</v>
      </c>
      <c r="C36" s="8">
        <v>12</v>
      </c>
      <c r="D36" s="8" t="s">
        <v>6</v>
      </c>
      <c r="E36" s="8">
        <v>16.07929515</v>
      </c>
      <c r="F36" s="8">
        <v>6.4518950045163267E-2</v>
      </c>
      <c r="G36" s="8">
        <v>0.64465176045125627</v>
      </c>
      <c r="H36" s="8">
        <v>0.10008341557928889</v>
      </c>
    </row>
    <row r="37" spans="1:8" x14ac:dyDescent="0.45">
      <c r="A37" s="8" t="s">
        <v>146</v>
      </c>
      <c r="B37" s="8" t="s">
        <v>147</v>
      </c>
      <c r="C37" s="8">
        <v>12</v>
      </c>
      <c r="D37" s="8" t="s">
        <v>6</v>
      </c>
      <c r="E37" s="8">
        <v>16.075514869999999</v>
      </c>
      <c r="F37" s="8">
        <v>4.4028220030819763E-2</v>
      </c>
      <c r="G37" s="8">
        <v>0.64465176045125627</v>
      </c>
      <c r="H37" s="8">
        <v>6.829768059579952E-2</v>
      </c>
    </row>
    <row r="38" spans="1:8" x14ac:dyDescent="0.45">
      <c r="A38" s="8" t="s">
        <v>148</v>
      </c>
      <c r="B38" s="8" t="s">
        <v>149</v>
      </c>
      <c r="C38" s="8">
        <v>12</v>
      </c>
      <c r="D38" s="8" t="s">
        <v>6</v>
      </c>
      <c r="E38" s="8">
        <v>9.2997198899999987</v>
      </c>
      <c r="F38" s="8">
        <v>6.6157630046310353E-2</v>
      </c>
      <c r="G38" s="8">
        <v>0.64465176045125627</v>
      </c>
      <c r="H38" s="8">
        <v>0.10262537714936201</v>
      </c>
    </row>
    <row r="39" spans="1:8" x14ac:dyDescent="0.45">
      <c r="A39" s="8" t="s">
        <v>150</v>
      </c>
      <c r="B39" s="8" t="s">
        <v>151</v>
      </c>
      <c r="C39" s="8">
        <v>12</v>
      </c>
      <c r="D39" s="8" t="s">
        <v>6</v>
      </c>
      <c r="E39" s="8">
        <v>4.5871559600000005</v>
      </c>
      <c r="F39" s="8">
        <v>4.2067410029447194E-2</v>
      </c>
      <c r="G39" s="8">
        <v>0.64465176045125627</v>
      </c>
      <c r="H39" s="8">
        <v>6.5256022879701753E-2</v>
      </c>
    </row>
    <row r="40" spans="1:8" x14ac:dyDescent="0.45">
      <c r="A40" s="8" t="s">
        <v>152</v>
      </c>
      <c r="B40" s="8" t="s">
        <v>153</v>
      </c>
      <c r="C40" s="8">
        <v>12</v>
      </c>
      <c r="D40" s="8" t="s">
        <v>6</v>
      </c>
      <c r="E40" s="8">
        <v>18.419675560000002</v>
      </c>
      <c r="F40" s="8">
        <v>0.21069441014748611</v>
      </c>
      <c r="G40" s="8">
        <v>0.64465176045125627</v>
      </c>
      <c r="H40" s="8">
        <v>0.32683446020530527</v>
      </c>
    </row>
    <row r="41" spans="1:8" x14ac:dyDescent="0.45">
      <c r="A41" s="8" t="s">
        <v>154</v>
      </c>
      <c r="B41" s="8" t="s">
        <v>155</v>
      </c>
      <c r="C41" s="8">
        <v>12</v>
      </c>
      <c r="D41" s="8" t="s">
        <v>6</v>
      </c>
      <c r="E41" s="8">
        <v>8.9571613999999986</v>
      </c>
      <c r="F41" s="8">
        <v>0.21718514015202964</v>
      </c>
      <c r="G41" s="8">
        <v>0.64465176045125627</v>
      </c>
      <c r="H41" s="8">
        <v>0.33690304359054263</v>
      </c>
    </row>
    <row r="42" spans="1:8" x14ac:dyDescent="0.45">
      <c r="A42" s="8" t="s">
        <v>156</v>
      </c>
      <c r="B42" s="8" t="s">
        <v>157</v>
      </c>
      <c r="C42" s="8">
        <v>14</v>
      </c>
      <c r="D42" s="8" t="s">
        <v>7</v>
      </c>
      <c r="E42" s="8">
        <v>34.741784039999999</v>
      </c>
      <c r="F42" s="8">
        <v>0.136069900095249</v>
      </c>
      <c r="G42" s="8">
        <v>1.0613753907429631</v>
      </c>
      <c r="H42" s="8">
        <v>0.1282014839254941</v>
      </c>
    </row>
    <row r="43" spans="1:8" x14ac:dyDescent="0.45">
      <c r="A43" s="8" t="s">
        <v>158</v>
      </c>
      <c r="B43" s="8" t="s">
        <v>159</v>
      </c>
      <c r="C43" s="8">
        <v>14</v>
      </c>
      <c r="D43" s="8" t="s">
        <v>7</v>
      </c>
      <c r="E43" s="8">
        <v>10.80018501</v>
      </c>
      <c r="F43" s="8">
        <v>4.1963020029374125E-2</v>
      </c>
      <c r="G43" s="8">
        <v>1.0613753907429631</v>
      </c>
      <c r="H43" s="8">
        <v>3.9536454675098504E-2</v>
      </c>
    </row>
    <row r="44" spans="1:8" x14ac:dyDescent="0.45">
      <c r="A44" s="8" t="s">
        <v>160</v>
      </c>
      <c r="B44" s="8" t="s">
        <v>161</v>
      </c>
      <c r="C44" s="8">
        <v>14</v>
      </c>
      <c r="D44" s="8" t="s">
        <v>7</v>
      </c>
      <c r="E44" s="8">
        <v>8.0498866200000005</v>
      </c>
      <c r="F44" s="8">
        <v>1.2524010008766809E-2</v>
      </c>
      <c r="G44" s="8">
        <v>1.0613753907429631</v>
      </c>
      <c r="H44" s="8">
        <v>1.1799793096766637E-2</v>
      </c>
    </row>
    <row r="45" spans="1:8" x14ac:dyDescent="0.45">
      <c r="A45" s="8" t="s">
        <v>162</v>
      </c>
      <c r="B45" s="8" t="s">
        <v>163</v>
      </c>
      <c r="C45" s="8">
        <v>14</v>
      </c>
      <c r="D45" s="8" t="s">
        <v>7</v>
      </c>
      <c r="E45" s="8">
        <v>26.9801085</v>
      </c>
      <c r="F45" s="8">
        <v>7.7457490054220257E-2</v>
      </c>
      <c r="G45" s="8">
        <v>1.0613753907429631</v>
      </c>
      <c r="H45" s="8">
        <v>7.297841153072146E-2</v>
      </c>
    </row>
    <row r="46" spans="1:8" x14ac:dyDescent="0.45">
      <c r="A46" s="8" t="s">
        <v>164</v>
      </c>
      <c r="B46" s="8" t="s">
        <v>165</v>
      </c>
      <c r="C46" s="8">
        <v>14</v>
      </c>
      <c r="D46" s="8" t="s">
        <v>7</v>
      </c>
      <c r="E46" s="8">
        <v>11.75190424</v>
      </c>
      <c r="F46" s="8">
        <v>9.7072750067950936E-2</v>
      </c>
      <c r="G46" s="8">
        <v>1.0613753907429631</v>
      </c>
      <c r="H46" s="8">
        <v>9.1459394022693499E-2</v>
      </c>
    </row>
    <row r="47" spans="1:8" x14ac:dyDescent="0.45">
      <c r="A47" s="8" t="s">
        <v>166</v>
      </c>
      <c r="B47" s="8" t="s">
        <v>167</v>
      </c>
      <c r="C47" s="8">
        <v>14</v>
      </c>
      <c r="D47" s="8" t="s">
        <v>7</v>
      </c>
      <c r="E47" s="8">
        <v>22.57611241</v>
      </c>
      <c r="F47" s="8">
        <v>0.19106968013374881</v>
      </c>
      <c r="G47" s="8">
        <v>1.0613753907429631</v>
      </c>
      <c r="H47" s="8">
        <v>0.18002083127252458</v>
      </c>
    </row>
    <row r="48" spans="1:8" x14ac:dyDescent="0.45">
      <c r="A48" s="8" t="s">
        <v>168</v>
      </c>
      <c r="B48" s="8" t="s">
        <v>169</v>
      </c>
      <c r="C48" s="8">
        <v>14</v>
      </c>
      <c r="D48" s="8" t="s">
        <v>7</v>
      </c>
      <c r="E48" s="8">
        <v>11.92427239</v>
      </c>
      <c r="F48" s="8">
        <v>0.19787122013850991</v>
      </c>
      <c r="G48" s="8">
        <v>1.0613753907429631</v>
      </c>
      <c r="H48" s="8">
        <v>0.18642906351917582</v>
      </c>
    </row>
    <row r="49" spans="1:8" x14ac:dyDescent="0.45">
      <c r="A49" s="8" t="s">
        <v>170</v>
      </c>
      <c r="B49" s="8" t="s">
        <v>171</v>
      </c>
      <c r="C49" s="8">
        <v>14</v>
      </c>
      <c r="D49" s="8" t="s">
        <v>7</v>
      </c>
      <c r="E49" s="8">
        <v>19.10828025</v>
      </c>
      <c r="F49" s="8">
        <v>6.2471630043730152E-2</v>
      </c>
      <c r="G49" s="8">
        <v>1.0613753907429631</v>
      </c>
      <c r="H49" s="8">
        <v>5.8859128060242655E-2</v>
      </c>
    </row>
    <row r="50" spans="1:8" x14ac:dyDescent="0.45">
      <c r="A50" s="8" t="s">
        <v>172</v>
      </c>
      <c r="B50" s="8" t="s">
        <v>173</v>
      </c>
      <c r="C50" s="8">
        <v>14</v>
      </c>
      <c r="D50" s="8" t="s">
        <v>7</v>
      </c>
      <c r="E50" s="8">
        <v>31.17597293</v>
      </c>
      <c r="F50" s="8">
        <v>0.24487569017141303</v>
      </c>
      <c r="G50" s="8">
        <v>1.0613753907429631</v>
      </c>
      <c r="H50" s="8">
        <v>0.23071543989728269</v>
      </c>
    </row>
    <row r="51" spans="1:8" x14ac:dyDescent="0.45">
      <c r="A51" s="8" t="s">
        <v>174</v>
      </c>
      <c r="B51" s="8" t="s">
        <v>175</v>
      </c>
      <c r="C51" s="8">
        <v>15</v>
      </c>
      <c r="D51" s="8" t="s">
        <v>8</v>
      </c>
      <c r="E51" s="8">
        <v>14.51612903</v>
      </c>
      <c r="F51" s="8">
        <v>0.1866708301306696</v>
      </c>
      <c r="G51" s="8">
        <v>0.32220841022554592</v>
      </c>
      <c r="H51" s="8">
        <v>0.57934809957319244</v>
      </c>
    </row>
    <row r="52" spans="1:8" x14ac:dyDescent="0.45">
      <c r="A52" s="8" t="s">
        <v>176</v>
      </c>
      <c r="B52" s="8" t="s">
        <v>177</v>
      </c>
      <c r="C52" s="8">
        <v>15</v>
      </c>
      <c r="D52" s="8" t="s">
        <v>8</v>
      </c>
      <c r="E52" s="8">
        <v>16.92307692</v>
      </c>
      <c r="F52" s="8">
        <v>1.314550000920185E-2</v>
      </c>
      <c r="G52" s="8">
        <v>0.32220841022554592</v>
      </c>
      <c r="H52" s="8">
        <v>4.0798128143210162E-2</v>
      </c>
    </row>
    <row r="53" spans="1:8" x14ac:dyDescent="0.45">
      <c r="A53" s="8" t="s">
        <v>178</v>
      </c>
      <c r="B53" s="8" t="s">
        <v>179</v>
      </c>
      <c r="C53" s="8">
        <v>15</v>
      </c>
      <c r="D53" s="8" t="s">
        <v>8</v>
      </c>
      <c r="E53" s="8">
        <v>12.904808640000001</v>
      </c>
      <c r="F53" s="8">
        <v>0.12239208008567447</v>
      </c>
      <c r="G53" s="8">
        <v>0.32220841022554592</v>
      </c>
      <c r="H53" s="8">
        <v>0.37985377228359746</v>
      </c>
    </row>
    <row r="54" spans="1:8" x14ac:dyDescent="0.45">
      <c r="A54" s="8" t="s">
        <v>180</v>
      </c>
      <c r="B54" s="8" t="s">
        <v>181</v>
      </c>
      <c r="C54" s="8">
        <v>16</v>
      </c>
      <c r="D54" s="8" t="s">
        <v>9</v>
      </c>
      <c r="E54" s="8">
        <v>10.836584309999999</v>
      </c>
      <c r="F54" s="8">
        <v>0.12983268009088292</v>
      </c>
      <c r="G54" s="8">
        <v>0.29554155020687917</v>
      </c>
      <c r="H54" s="8">
        <v>0.43930432116905394</v>
      </c>
    </row>
    <row r="55" spans="1:8" x14ac:dyDescent="0.45">
      <c r="A55" s="8" t="s">
        <v>182</v>
      </c>
      <c r="B55" s="8" t="s">
        <v>183</v>
      </c>
      <c r="C55" s="8">
        <v>16</v>
      </c>
      <c r="D55" s="8" t="s">
        <v>9</v>
      </c>
      <c r="E55" s="8">
        <v>16.623376619999998</v>
      </c>
      <c r="F55" s="8">
        <v>8.7930910061551654E-2</v>
      </c>
      <c r="G55" s="8">
        <v>0.29554155020687917</v>
      </c>
      <c r="H55" s="8">
        <v>0.29752469661203301</v>
      </c>
    </row>
    <row r="56" spans="1:8" x14ac:dyDescent="0.45">
      <c r="A56" s="8" t="s">
        <v>184</v>
      </c>
      <c r="B56" s="8" t="s">
        <v>185</v>
      </c>
      <c r="C56" s="8">
        <v>16</v>
      </c>
      <c r="D56" s="8" t="s">
        <v>9</v>
      </c>
      <c r="E56" s="8">
        <v>13.754646840000001</v>
      </c>
      <c r="F56" s="8">
        <v>7.7777960054444595E-2</v>
      </c>
      <c r="G56" s="8">
        <v>0.29554155020687917</v>
      </c>
      <c r="H56" s="8">
        <v>0.26317098221891305</v>
      </c>
    </row>
    <row r="57" spans="1:8" x14ac:dyDescent="0.45">
      <c r="A57" s="8" t="s">
        <v>186</v>
      </c>
      <c r="B57" s="8" t="s">
        <v>187</v>
      </c>
      <c r="C57" s="8">
        <v>17</v>
      </c>
      <c r="D57" s="8" t="s">
        <v>10</v>
      </c>
      <c r="E57" s="8">
        <v>10.296191820000001</v>
      </c>
      <c r="F57" s="8">
        <v>0.11522222008065557</v>
      </c>
      <c r="G57" s="8">
        <v>0.26644300018651013</v>
      </c>
      <c r="H57" s="8">
        <v>0.43244603911530799</v>
      </c>
    </row>
    <row r="58" spans="1:8" x14ac:dyDescent="0.45">
      <c r="A58" s="8" t="s">
        <v>188</v>
      </c>
      <c r="B58" s="8" t="s">
        <v>189</v>
      </c>
      <c r="C58" s="8">
        <v>17</v>
      </c>
      <c r="D58" s="8" t="s">
        <v>10</v>
      </c>
      <c r="E58" s="8">
        <v>5.3890556499999995</v>
      </c>
      <c r="F58" s="8">
        <v>0.15122078010585457</v>
      </c>
      <c r="G58" s="8">
        <v>0.26644300018651013</v>
      </c>
      <c r="H58" s="8">
        <v>0.56755396088469212</v>
      </c>
    </row>
    <row r="59" spans="1:8" x14ac:dyDescent="0.45">
      <c r="A59" s="8" t="s">
        <v>190</v>
      </c>
      <c r="B59" s="8" t="s">
        <v>191</v>
      </c>
      <c r="C59" s="8">
        <v>18</v>
      </c>
      <c r="D59" s="8" t="s">
        <v>11</v>
      </c>
      <c r="E59" s="8">
        <v>9.2362344599999986</v>
      </c>
      <c r="F59" s="8">
        <v>7.5176370052623481E-2</v>
      </c>
      <c r="G59" s="8">
        <v>7.5176370052623481E-2</v>
      </c>
      <c r="H59" s="8">
        <v>1</v>
      </c>
    </row>
    <row r="60" spans="1:8" x14ac:dyDescent="0.45">
      <c r="A60" s="8" t="s">
        <v>192</v>
      </c>
      <c r="B60" s="8" t="s">
        <v>193</v>
      </c>
      <c r="C60" s="8">
        <v>20</v>
      </c>
      <c r="D60" s="8" t="s">
        <v>12</v>
      </c>
      <c r="E60" s="8">
        <v>19.826946849999999</v>
      </c>
      <c r="F60" s="8">
        <v>9.4418130066092704E-2</v>
      </c>
      <c r="G60" s="8">
        <v>0.53133653037193562</v>
      </c>
      <c r="H60" s="8">
        <v>0.17769930104372836</v>
      </c>
    </row>
    <row r="61" spans="1:8" x14ac:dyDescent="0.45">
      <c r="A61" s="8" t="s">
        <v>194</v>
      </c>
      <c r="B61" s="8" t="s">
        <v>195</v>
      </c>
      <c r="C61" s="8">
        <v>20</v>
      </c>
      <c r="D61" s="8" t="s">
        <v>12</v>
      </c>
      <c r="E61" s="8">
        <v>20.998701110000003</v>
      </c>
      <c r="F61" s="8">
        <v>0.43691840030584295</v>
      </c>
      <c r="G61" s="8">
        <v>0.53133653037193562</v>
      </c>
      <c r="H61" s="8">
        <v>0.82230069895627167</v>
      </c>
    </row>
    <row r="62" spans="1:8" x14ac:dyDescent="0.45">
      <c r="A62" s="8" t="s">
        <v>196</v>
      </c>
      <c r="B62" s="8" t="s">
        <v>197</v>
      </c>
      <c r="C62" s="8">
        <v>21</v>
      </c>
      <c r="D62" s="8" t="s">
        <v>13</v>
      </c>
      <c r="E62" s="8">
        <v>15.2764761</v>
      </c>
      <c r="F62" s="8">
        <v>5.4591930038214359E-2</v>
      </c>
      <c r="G62" s="8">
        <v>0.11773581008241507</v>
      </c>
      <c r="H62" s="8">
        <v>0.46368161054822665</v>
      </c>
    </row>
    <row r="63" spans="1:8" x14ac:dyDescent="0.45">
      <c r="A63" s="8" t="s">
        <v>198</v>
      </c>
      <c r="B63" s="8" t="s">
        <v>199</v>
      </c>
      <c r="C63" s="8">
        <v>21</v>
      </c>
      <c r="D63" s="8" t="s">
        <v>13</v>
      </c>
      <c r="E63" s="8">
        <v>8.6956521699999989</v>
      </c>
      <c r="F63" s="8">
        <v>6.3143880044200712E-2</v>
      </c>
      <c r="G63" s="8">
        <v>0.11773581008241507</v>
      </c>
      <c r="H63" s="8">
        <v>0.53631838945177335</v>
      </c>
    </row>
    <row r="64" spans="1:8" x14ac:dyDescent="0.45">
      <c r="A64" s="8" t="s">
        <v>200</v>
      </c>
      <c r="B64" s="8" t="s">
        <v>201</v>
      </c>
      <c r="C64" s="8">
        <v>22</v>
      </c>
      <c r="D64" s="8" t="s">
        <v>14</v>
      </c>
      <c r="E64" s="8">
        <v>12.759924389999998</v>
      </c>
      <c r="F64" s="8">
        <v>0.13980108009786077</v>
      </c>
      <c r="G64" s="8">
        <v>0.2757958201930571</v>
      </c>
      <c r="H64" s="8">
        <v>0.50690064845797878</v>
      </c>
    </row>
    <row r="65" spans="1:8" x14ac:dyDescent="0.45">
      <c r="A65" s="8" t="s">
        <v>202</v>
      </c>
      <c r="B65" s="8" t="s">
        <v>203</v>
      </c>
      <c r="C65" s="8">
        <v>22</v>
      </c>
      <c r="D65" s="8" t="s">
        <v>14</v>
      </c>
      <c r="E65" s="8">
        <v>5.5449330799999998</v>
      </c>
      <c r="F65" s="8">
        <v>7.9179940055425974E-2</v>
      </c>
      <c r="G65" s="8">
        <v>0.2757958201930571</v>
      </c>
      <c r="H65" s="8">
        <v>0.28709622937722556</v>
      </c>
    </row>
    <row r="66" spans="1:8" x14ac:dyDescent="0.45">
      <c r="A66" s="8" t="s">
        <v>204</v>
      </c>
      <c r="B66" s="8" t="s">
        <v>205</v>
      </c>
      <c r="C66" s="8">
        <v>22</v>
      </c>
      <c r="D66" s="8" t="s">
        <v>14</v>
      </c>
      <c r="E66" s="8">
        <v>7.3529411800000002</v>
      </c>
      <c r="F66" s="8">
        <v>5.6814800039770366E-2</v>
      </c>
      <c r="G66" s="8">
        <v>0.2757958201930571</v>
      </c>
      <c r="H66" s="8">
        <v>0.20600312216479569</v>
      </c>
    </row>
    <row r="67" spans="1:8" x14ac:dyDescent="0.45">
      <c r="A67" s="8" t="s">
        <v>206</v>
      </c>
      <c r="B67" s="8" t="s">
        <v>207</v>
      </c>
      <c r="C67" s="8">
        <v>23</v>
      </c>
      <c r="D67" s="8" t="s">
        <v>15</v>
      </c>
      <c r="E67" s="8">
        <v>25.749318799999998</v>
      </c>
      <c r="F67" s="8">
        <v>0.115677140080974</v>
      </c>
      <c r="G67" s="8">
        <v>0.115677140080974</v>
      </c>
      <c r="H67" s="8">
        <v>1</v>
      </c>
    </row>
    <row r="68" spans="1:8" x14ac:dyDescent="0.45">
      <c r="A68" s="8" t="s">
        <v>208</v>
      </c>
      <c r="B68" s="8" t="s">
        <v>209</v>
      </c>
      <c r="C68" s="8">
        <v>24</v>
      </c>
      <c r="D68" s="8" t="s">
        <v>16</v>
      </c>
      <c r="E68" s="8">
        <v>17.45299752</v>
      </c>
      <c r="F68" s="8">
        <v>4.6803820032762684E-2</v>
      </c>
      <c r="G68" s="8">
        <v>4.6803820032762684E-2</v>
      </c>
      <c r="H68" s="8">
        <v>1</v>
      </c>
    </row>
    <row r="69" spans="1:8" x14ac:dyDescent="0.45">
      <c r="A69" s="8" t="s">
        <v>210</v>
      </c>
      <c r="B69" s="8" t="s">
        <v>211</v>
      </c>
      <c r="C69" s="8">
        <v>27</v>
      </c>
      <c r="D69" s="8" t="s">
        <v>17</v>
      </c>
      <c r="E69" s="8">
        <v>25.82842252</v>
      </c>
      <c r="F69" s="8">
        <v>9.9294190069505961E-2</v>
      </c>
      <c r="G69" s="8">
        <v>13.641396309548981</v>
      </c>
      <c r="H69" s="8">
        <v>7.278887572528041E-3</v>
      </c>
    </row>
    <row r="70" spans="1:8" x14ac:dyDescent="0.45">
      <c r="A70" s="8" t="s">
        <v>212</v>
      </c>
      <c r="B70" s="8" t="s">
        <v>213</v>
      </c>
      <c r="C70" s="8">
        <v>27</v>
      </c>
      <c r="D70" s="8" t="s">
        <v>17</v>
      </c>
      <c r="E70" s="8">
        <v>26.104595269999997</v>
      </c>
      <c r="F70" s="8">
        <v>0.43410771030387552</v>
      </c>
      <c r="G70" s="8">
        <v>13.641396309548981</v>
      </c>
      <c r="H70" s="8">
        <v>3.1822820806107655E-2</v>
      </c>
    </row>
    <row r="71" spans="1:8" x14ac:dyDescent="0.45">
      <c r="A71" s="8" t="s">
        <v>214</v>
      </c>
      <c r="B71" s="8" t="s">
        <v>215</v>
      </c>
      <c r="C71" s="8">
        <v>27</v>
      </c>
      <c r="D71" s="8" t="s">
        <v>17</v>
      </c>
      <c r="E71" s="8">
        <v>23.06013716</v>
      </c>
      <c r="F71" s="8">
        <v>0.20962724014673909</v>
      </c>
      <c r="G71" s="8">
        <v>13.641396309548981</v>
      </c>
      <c r="H71" s="8">
        <v>1.5366992893535391E-2</v>
      </c>
    </row>
    <row r="72" spans="1:8" x14ac:dyDescent="0.45">
      <c r="A72" s="8" t="s">
        <v>216</v>
      </c>
      <c r="B72" s="8" t="s">
        <v>217</v>
      </c>
      <c r="C72" s="8">
        <v>27</v>
      </c>
      <c r="D72" s="8" t="s">
        <v>17</v>
      </c>
      <c r="E72" s="8">
        <v>23.70724482</v>
      </c>
      <c r="F72" s="8">
        <v>0.4026591202818614</v>
      </c>
      <c r="G72" s="8">
        <v>13.641396309548981</v>
      </c>
      <c r="H72" s="8">
        <v>2.9517441700597755E-2</v>
      </c>
    </row>
    <row r="73" spans="1:8" x14ac:dyDescent="0.45">
      <c r="A73" s="8" t="s">
        <v>218</v>
      </c>
      <c r="B73" s="8" t="s">
        <v>219</v>
      </c>
      <c r="C73" s="8">
        <v>27</v>
      </c>
      <c r="D73" s="8" t="s">
        <v>17</v>
      </c>
      <c r="E73" s="8">
        <v>15.573493839999999</v>
      </c>
      <c r="F73" s="8">
        <v>0.20251231014175863</v>
      </c>
      <c r="G73" s="8">
        <v>13.641396309548981</v>
      </c>
      <c r="H73" s="8">
        <v>1.4845423851515842E-2</v>
      </c>
    </row>
    <row r="74" spans="1:8" x14ac:dyDescent="0.45">
      <c r="A74" s="8" t="s">
        <v>220</v>
      </c>
      <c r="B74" s="8" t="s">
        <v>221</v>
      </c>
      <c r="C74" s="8">
        <v>27</v>
      </c>
      <c r="D74" s="8" t="s">
        <v>17</v>
      </c>
      <c r="E74" s="8">
        <v>13.133543640000001</v>
      </c>
      <c r="F74" s="8">
        <v>0.15827647011079354</v>
      </c>
      <c r="G74" s="8">
        <v>13.641396309548981</v>
      </c>
      <c r="H74" s="8">
        <v>1.1602659032785375E-2</v>
      </c>
    </row>
    <row r="75" spans="1:8" x14ac:dyDescent="0.45">
      <c r="A75" s="8" t="s">
        <v>222</v>
      </c>
      <c r="B75" s="8" t="s">
        <v>223</v>
      </c>
      <c r="C75" s="8">
        <v>27</v>
      </c>
      <c r="D75" s="8" t="s">
        <v>17</v>
      </c>
      <c r="E75" s="8">
        <v>32.111161249999995</v>
      </c>
      <c r="F75" s="8">
        <v>0.21164014014814814</v>
      </c>
      <c r="G75" s="8">
        <v>13.641396309548981</v>
      </c>
      <c r="H75" s="8">
        <v>1.55145511020745E-2</v>
      </c>
    </row>
    <row r="76" spans="1:8" x14ac:dyDescent="0.45">
      <c r="A76" s="8" t="s">
        <v>224</v>
      </c>
      <c r="B76" s="8" t="s">
        <v>225</v>
      </c>
      <c r="C76" s="8">
        <v>27</v>
      </c>
      <c r="D76" s="8" t="s">
        <v>17</v>
      </c>
      <c r="E76" s="8">
        <v>35.755050789999999</v>
      </c>
      <c r="F76" s="8">
        <v>0.11926873008348814</v>
      </c>
      <c r="G76" s="8">
        <v>13.641396309548981</v>
      </c>
      <c r="H76" s="8">
        <v>8.7431467701000673E-3</v>
      </c>
    </row>
    <row r="77" spans="1:8" x14ac:dyDescent="0.45">
      <c r="A77" s="8" t="s">
        <v>226</v>
      </c>
      <c r="B77" s="8" t="s">
        <v>227</v>
      </c>
      <c r="C77" s="8">
        <v>27</v>
      </c>
      <c r="D77" s="8" t="s">
        <v>17</v>
      </c>
      <c r="E77" s="8">
        <v>14.4084191</v>
      </c>
      <c r="F77" s="8">
        <v>0.10994308007696019</v>
      </c>
      <c r="G77" s="8">
        <v>13.641396309548981</v>
      </c>
      <c r="H77" s="8">
        <v>8.0595180714748398E-3</v>
      </c>
    </row>
    <row r="78" spans="1:8" x14ac:dyDescent="0.45">
      <c r="A78" s="8" t="s">
        <v>793</v>
      </c>
      <c r="B78" s="8" t="s">
        <v>228</v>
      </c>
      <c r="C78" s="8">
        <v>27</v>
      </c>
      <c r="D78" s="8" t="s">
        <v>17</v>
      </c>
      <c r="E78" s="8">
        <v>28.181049070000004</v>
      </c>
      <c r="F78" s="8">
        <v>0.10527414007369192</v>
      </c>
      <c r="G78" s="8">
        <v>13.641396309548981</v>
      </c>
      <c r="H78" s="8">
        <v>7.7172554542675369E-3</v>
      </c>
    </row>
    <row r="79" spans="1:8" x14ac:dyDescent="0.45">
      <c r="A79" s="8" t="s">
        <v>229</v>
      </c>
      <c r="B79" s="8" t="s">
        <v>230</v>
      </c>
      <c r="C79" s="8">
        <v>27</v>
      </c>
      <c r="D79" s="8" t="s">
        <v>17</v>
      </c>
      <c r="E79" s="8">
        <v>20.4962406</v>
      </c>
      <c r="F79" s="8">
        <v>5.8826630041178656E-2</v>
      </c>
      <c r="G79" s="8">
        <v>13.641396309548981</v>
      </c>
      <c r="H79" s="8">
        <v>4.3123613379665538E-3</v>
      </c>
    </row>
    <row r="80" spans="1:8" x14ac:dyDescent="0.45">
      <c r="A80" s="8" t="s">
        <v>231</v>
      </c>
      <c r="B80" s="8" t="s">
        <v>232</v>
      </c>
      <c r="C80" s="8">
        <v>27</v>
      </c>
      <c r="D80" s="8" t="s">
        <v>17</v>
      </c>
      <c r="E80" s="8">
        <v>41.580308360000004</v>
      </c>
      <c r="F80" s="8">
        <v>0.39442977027610093</v>
      </c>
      <c r="G80" s="8">
        <v>13.641396309548981</v>
      </c>
      <c r="H80" s="8">
        <v>2.8914178675389705E-2</v>
      </c>
    </row>
    <row r="81" spans="1:8" x14ac:dyDescent="0.45">
      <c r="A81" s="8" t="s">
        <v>233</v>
      </c>
      <c r="B81" s="8" t="s">
        <v>234</v>
      </c>
      <c r="C81" s="8">
        <v>27</v>
      </c>
      <c r="D81" s="8" t="s">
        <v>17</v>
      </c>
      <c r="E81" s="8">
        <v>48.31436368</v>
      </c>
      <c r="F81" s="8">
        <v>0.18648831013054185</v>
      </c>
      <c r="G81" s="8">
        <v>13.641396309548981</v>
      </c>
      <c r="H81" s="8">
        <v>1.3670764040481691E-2</v>
      </c>
    </row>
    <row r="82" spans="1:8" x14ac:dyDescent="0.45">
      <c r="A82" s="8" t="s">
        <v>235</v>
      </c>
      <c r="B82" s="8" t="s">
        <v>236</v>
      </c>
      <c r="C82" s="8">
        <v>27</v>
      </c>
      <c r="D82" s="8" t="s">
        <v>17</v>
      </c>
      <c r="E82" s="8">
        <v>47.024298869999996</v>
      </c>
      <c r="F82" s="8">
        <v>0.38862583027203818</v>
      </c>
      <c r="G82" s="8">
        <v>13.641396309548981</v>
      </c>
      <c r="H82" s="8">
        <v>2.8488713431776776E-2</v>
      </c>
    </row>
    <row r="83" spans="1:8" x14ac:dyDescent="0.45">
      <c r="A83" s="8" t="s">
        <v>237</v>
      </c>
      <c r="B83" s="8" t="s">
        <v>238</v>
      </c>
      <c r="C83" s="8">
        <v>27</v>
      </c>
      <c r="D83" s="8" t="s">
        <v>17</v>
      </c>
      <c r="E83" s="8">
        <v>33.144299599999997</v>
      </c>
      <c r="F83" s="8">
        <v>7.0445510049311877E-2</v>
      </c>
      <c r="G83" s="8">
        <v>13.641396309548981</v>
      </c>
      <c r="H83" s="8">
        <v>5.1640981942588969E-3</v>
      </c>
    </row>
    <row r="84" spans="1:8" x14ac:dyDescent="0.45">
      <c r="A84" s="8" t="s">
        <v>239</v>
      </c>
      <c r="B84" s="8" t="s">
        <v>240</v>
      </c>
      <c r="C84" s="8">
        <v>27</v>
      </c>
      <c r="D84" s="8" t="s">
        <v>17</v>
      </c>
      <c r="E84" s="8">
        <v>34.065781099999995</v>
      </c>
      <c r="F84" s="8">
        <v>0.26723332018706336</v>
      </c>
      <c r="G84" s="8">
        <v>13.641396309548981</v>
      </c>
      <c r="H84" s="8">
        <v>1.9589880252947417E-2</v>
      </c>
    </row>
    <row r="85" spans="1:8" x14ac:dyDescent="0.45">
      <c r="A85" s="8" t="s">
        <v>241</v>
      </c>
      <c r="B85" s="8" t="s">
        <v>242</v>
      </c>
      <c r="C85" s="8">
        <v>27</v>
      </c>
      <c r="D85" s="8" t="s">
        <v>17</v>
      </c>
      <c r="E85" s="8">
        <v>35.653153150000001</v>
      </c>
      <c r="F85" s="8">
        <v>0.17662767012363939</v>
      </c>
      <c r="G85" s="8">
        <v>13.641396309548981</v>
      </c>
      <c r="H85" s="8">
        <v>1.2947917215776509E-2</v>
      </c>
    </row>
    <row r="86" spans="1:8" x14ac:dyDescent="0.45">
      <c r="A86" s="8" t="s">
        <v>243</v>
      </c>
      <c r="B86" s="8" t="s">
        <v>244</v>
      </c>
      <c r="C86" s="8">
        <v>27</v>
      </c>
      <c r="D86" s="8" t="s">
        <v>17</v>
      </c>
      <c r="E86" s="8">
        <v>50.2701457</v>
      </c>
      <c r="F86" s="8">
        <v>0.17205740012044021</v>
      </c>
      <c r="G86" s="8">
        <v>13.641396309548981</v>
      </c>
      <c r="H86" s="8">
        <v>1.2612887729095591E-2</v>
      </c>
    </row>
    <row r="87" spans="1:8" x14ac:dyDescent="0.45">
      <c r="A87" s="8" t="s">
        <v>245</v>
      </c>
      <c r="B87" s="8" t="s">
        <v>246</v>
      </c>
      <c r="C87" s="8">
        <v>27</v>
      </c>
      <c r="D87" s="8" t="s">
        <v>17</v>
      </c>
      <c r="E87" s="8">
        <v>46.610839859999999</v>
      </c>
      <c r="F87" s="8">
        <v>0.16221693011355187</v>
      </c>
      <c r="G87" s="8">
        <v>13.641396309548981</v>
      </c>
      <c r="H87" s="8">
        <v>1.189151949203323E-2</v>
      </c>
    </row>
    <row r="88" spans="1:8" x14ac:dyDescent="0.45">
      <c r="A88" s="8" t="s">
        <v>247</v>
      </c>
      <c r="B88" s="8" t="s">
        <v>248</v>
      </c>
      <c r="C88" s="8">
        <v>27</v>
      </c>
      <c r="D88" s="8" t="s">
        <v>17</v>
      </c>
      <c r="E88" s="8">
        <v>32.131342270000005</v>
      </c>
      <c r="F88" s="8">
        <v>0.15905709011134</v>
      </c>
      <c r="G88" s="8">
        <v>13.641396309548981</v>
      </c>
      <c r="H88" s="8">
        <v>1.1659883380119966E-2</v>
      </c>
    </row>
    <row r="89" spans="1:8" x14ac:dyDescent="0.45">
      <c r="A89" s="8" t="s">
        <v>249</v>
      </c>
      <c r="B89" s="8" t="s">
        <v>250</v>
      </c>
      <c r="C89" s="8">
        <v>27</v>
      </c>
      <c r="D89" s="8" t="s">
        <v>17</v>
      </c>
      <c r="E89" s="8">
        <v>25.024708439999998</v>
      </c>
      <c r="F89" s="8">
        <v>0.16805913011764143</v>
      </c>
      <c r="G89" s="8">
        <v>13.641396309548981</v>
      </c>
      <c r="H89" s="8">
        <v>1.2319789433871957E-2</v>
      </c>
    </row>
    <row r="90" spans="1:8" x14ac:dyDescent="0.45">
      <c r="A90" s="8" t="s">
        <v>251</v>
      </c>
      <c r="B90" s="8" t="s">
        <v>252</v>
      </c>
      <c r="C90" s="8">
        <v>27</v>
      </c>
      <c r="D90" s="8" t="s">
        <v>17</v>
      </c>
      <c r="E90" s="8">
        <v>21.43483599</v>
      </c>
      <c r="F90" s="8">
        <v>0.13026741009118722</v>
      </c>
      <c r="G90" s="8">
        <v>13.641396309548981</v>
      </c>
      <c r="H90" s="8">
        <v>9.5494190722983392E-3</v>
      </c>
    </row>
    <row r="91" spans="1:8" x14ac:dyDescent="0.45">
      <c r="A91" s="8" t="s">
        <v>253</v>
      </c>
      <c r="B91" s="8" t="s">
        <v>254</v>
      </c>
      <c r="C91" s="8">
        <v>27</v>
      </c>
      <c r="D91" s="8" t="s">
        <v>17</v>
      </c>
      <c r="E91" s="8">
        <v>35.104082570000003</v>
      </c>
      <c r="F91" s="8">
        <v>0.51033091035723166</v>
      </c>
      <c r="G91" s="8">
        <v>13.641396309548981</v>
      </c>
      <c r="H91" s="8">
        <v>3.7410459954161722E-2</v>
      </c>
    </row>
    <row r="92" spans="1:8" x14ac:dyDescent="0.45">
      <c r="A92" s="8" t="s">
        <v>255</v>
      </c>
      <c r="B92" s="8" t="s">
        <v>256</v>
      </c>
      <c r="C92" s="8">
        <v>27</v>
      </c>
      <c r="D92" s="8" t="s">
        <v>17</v>
      </c>
      <c r="E92" s="8">
        <v>25.948374959999999</v>
      </c>
      <c r="F92" s="8">
        <v>0.1567684201097379</v>
      </c>
      <c r="G92" s="8">
        <v>13.641396309548981</v>
      </c>
      <c r="H92" s="8">
        <v>1.1492109499084047E-2</v>
      </c>
    </row>
    <row r="93" spans="1:8" x14ac:dyDescent="0.45">
      <c r="A93" s="8" t="s">
        <v>257</v>
      </c>
      <c r="B93" s="8" t="s">
        <v>258</v>
      </c>
      <c r="C93" s="8">
        <v>27</v>
      </c>
      <c r="D93" s="8" t="s">
        <v>17</v>
      </c>
      <c r="E93" s="8">
        <v>36.300174519999999</v>
      </c>
      <c r="F93" s="8">
        <v>0.27397363019178156</v>
      </c>
      <c r="G93" s="8">
        <v>13.641396309548981</v>
      </c>
      <c r="H93" s="8">
        <v>2.0083987296813592E-2</v>
      </c>
    </row>
    <row r="94" spans="1:8" x14ac:dyDescent="0.45">
      <c r="A94" s="8" t="s">
        <v>259</v>
      </c>
      <c r="B94" s="8" t="s">
        <v>260</v>
      </c>
      <c r="C94" s="8">
        <v>27</v>
      </c>
      <c r="D94" s="8" t="s">
        <v>17</v>
      </c>
      <c r="E94" s="8">
        <v>26.171193339999999</v>
      </c>
      <c r="F94" s="8">
        <v>0.19790916013853643</v>
      </c>
      <c r="G94" s="8">
        <v>13.641396309548981</v>
      </c>
      <c r="H94" s="8">
        <v>1.4507984054388917E-2</v>
      </c>
    </row>
    <row r="95" spans="1:8" x14ac:dyDescent="0.45">
      <c r="A95" s="8" t="s">
        <v>261</v>
      </c>
      <c r="B95" s="8" t="s">
        <v>262</v>
      </c>
      <c r="C95" s="8">
        <v>27</v>
      </c>
      <c r="D95" s="8" t="s">
        <v>17</v>
      </c>
      <c r="E95" s="8">
        <v>51.930344080000005</v>
      </c>
      <c r="F95" s="8">
        <v>0.14359321010051529</v>
      </c>
      <c r="G95" s="8">
        <v>13.641396309548981</v>
      </c>
      <c r="H95" s="8">
        <v>1.0526283881951294E-2</v>
      </c>
    </row>
    <row r="96" spans="1:8" x14ac:dyDescent="0.45">
      <c r="A96" s="8" t="s">
        <v>263</v>
      </c>
      <c r="B96" s="8" t="s">
        <v>264</v>
      </c>
      <c r="C96" s="8">
        <v>27</v>
      </c>
      <c r="D96" s="8" t="s">
        <v>17</v>
      </c>
      <c r="E96" s="8">
        <v>37.281869270000001</v>
      </c>
      <c r="F96" s="8">
        <v>0.56302616039411846</v>
      </c>
      <c r="G96" s="8">
        <v>13.641396309548981</v>
      </c>
      <c r="H96" s="8">
        <v>4.1273352640594424E-2</v>
      </c>
    </row>
    <row r="97" spans="1:8" x14ac:dyDescent="0.45">
      <c r="A97" s="8" t="s">
        <v>265</v>
      </c>
      <c r="B97" s="8" t="s">
        <v>266</v>
      </c>
      <c r="C97" s="8">
        <v>27</v>
      </c>
      <c r="D97" s="8" t="s">
        <v>17</v>
      </c>
      <c r="E97" s="8">
        <v>31.906480689999999</v>
      </c>
      <c r="F97" s="8">
        <v>0.43992251030794588</v>
      </c>
      <c r="G97" s="8">
        <v>13.641396309548981</v>
      </c>
      <c r="H97" s="8">
        <v>3.2249082155908042E-2</v>
      </c>
    </row>
    <row r="98" spans="1:8" x14ac:dyDescent="0.45">
      <c r="A98" s="8" t="s">
        <v>267</v>
      </c>
      <c r="B98" s="8" t="s">
        <v>268</v>
      </c>
      <c r="C98" s="8">
        <v>27</v>
      </c>
      <c r="D98" s="8" t="s">
        <v>17</v>
      </c>
      <c r="E98" s="8">
        <v>32.937582850000005</v>
      </c>
      <c r="F98" s="8">
        <v>0.24893064017425148</v>
      </c>
      <c r="G98" s="8">
        <v>13.641396309548981</v>
      </c>
      <c r="H98" s="8">
        <v>1.8248178890602276E-2</v>
      </c>
    </row>
    <row r="99" spans="1:8" x14ac:dyDescent="0.45">
      <c r="A99" s="8" t="s">
        <v>269</v>
      </c>
      <c r="B99" s="8" t="s">
        <v>270</v>
      </c>
      <c r="C99" s="8">
        <v>27</v>
      </c>
      <c r="D99" s="8" t="s">
        <v>17</v>
      </c>
      <c r="E99" s="8">
        <v>25.935816459999998</v>
      </c>
      <c r="F99" s="8">
        <v>0.21897134015327999</v>
      </c>
      <c r="G99" s="8">
        <v>13.641396309548981</v>
      </c>
      <c r="H99" s="8">
        <v>1.6051974093003955E-2</v>
      </c>
    </row>
    <row r="100" spans="1:8" x14ac:dyDescent="0.45">
      <c r="A100" s="8" t="s">
        <v>271</v>
      </c>
      <c r="B100" s="8" t="s">
        <v>272</v>
      </c>
      <c r="C100" s="8">
        <v>27</v>
      </c>
      <c r="D100" s="8" t="s">
        <v>17</v>
      </c>
      <c r="E100" s="8">
        <v>38.617041100000002</v>
      </c>
      <c r="F100" s="8">
        <v>0.13795033009656524</v>
      </c>
      <c r="G100" s="8">
        <v>13.641396309548981</v>
      </c>
      <c r="H100" s="8">
        <v>1.0112625347597297E-2</v>
      </c>
    </row>
    <row r="101" spans="1:8" x14ac:dyDescent="0.45">
      <c r="A101" s="8" t="s">
        <v>273</v>
      </c>
      <c r="B101" s="8" t="s">
        <v>274</v>
      </c>
      <c r="C101" s="8">
        <v>27</v>
      </c>
      <c r="D101" s="8" t="s">
        <v>17</v>
      </c>
      <c r="E101" s="8">
        <v>29.046493299999998</v>
      </c>
      <c r="F101" s="8">
        <v>0.14581130010206794</v>
      </c>
      <c r="G101" s="8">
        <v>13.641396309548981</v>
      </c>
      <c r="H101" s="8">
        <v>1.0688883805831519E-2</v>
      </c>
    </row>
    <row r="102" spans="1:8" x14ac:dyDescent="0.45">
      <c r="A102" s="8" t="s">
        <v>275</v>
      </c>
      <c r="B102" s="8" t="s">
        <v>276</v>
      </c>
      <c r="C102" s="8">
        <v>27</v>
      </c>
      <c r="D102" s="8" t="s">
        <v>17</v>
      </c>
      <c r="E102" s="8">
        <v>39.895403880000003</v>
      </c>
      <c r="F102" s="8">
        <v>0.18729432013110606</v>
      </c>
      <c r="G102" s="8">
        <v>13.641396309548981</v>
      </c>
      <c r="H102" s="8">
        <v>1.3729849634234289E-2</v>
      </c>
    </row>
    <row r="103" spans="1:8" x14ac:dyDescent="0.45">
      <c r="A103" s="8" t="s">
        <v>277</v>
      </c>
      <c r="B103" s="8" t="s">
        <v>278</v>
      </c>
      <c r="C103" s="8">
        <v>27</v>
      </c>
      <c r="D103" s="8" t="s">
        <v>17</v>
      </c>
      <c r="E103" s="8">
        <v>62.221278010000006</v>
      </c>
      <c r="F103" s="8">
        <v>0.30520635021364451</v>
      </c>
      <c r="G103" s="8">
        <v>13.641396309548981</v>
      </c>
      <c r="H103" s="8">
        <v>2.2373541775925092E-2</v>
      </c>
    </row>
    <row r="104" spans="1:8" x14ac:dyDescent="0.45">
      <c r="A104" s="8" t="s">
        <v>279</v>
      </c>
      <c r="B104" s="8" t="s">
        <v>280</v>
      </c>
      <c r="C104" s="8">
        <v>27</v>
      </c>
      <c r="D104" s="8" t="s">
        <v>17</v>
      </c>
      <c r="E104" s="8">
        <v>40.688996490000001</v>
      </c>
      <c r="F104" s="8">
        <v>0.13805007009663506</v>
      </c>
      <c r="G104" s="8">
        <v>13.641396309548981</v>
      </c>
      <c r="H104" s="8">
        <v>1.0119936915841964E-2</v>
      </c>
    </row>
    <row r="105" spans="1:8" x14ac:dyDescent="0.45">
      <c r="A105" s="8" t="s">
        <v>281</v>
      </c>
      <c r="B105" s="8" t="s">
        <v>282</v>
      </c>
      <c r="C105" s="8">
        <v>27</v>
      </c>
      <c r="D105" s="8" t="s">
        <v>17</v>
      </c>
      <c r="E105" s="8">
        <v>49.636295730000001</v>
      </c>
      <c r="F105" s="8">
        <v>8.3862980058704101E-2</v>
      </c>
      <c r="G105" s="8">
        <v>13.641396309548981</v>
      </c>
      <c r="H105" s="8">
        <v>6.1476829904868312E-3</v>
      </c>
    </row>
    <row r="106" spans="1:8" x14ac:dyDescent="0.45">
      <c r="A106" s="8" t="s">
        <v>283</v>
      </c>
      <c r="B106" s="8" t="s">
        <v>284</v>
      </c>
      <c r="C106" s="8">
        <v>27</v>
      </c>
      <c r="D106" s="8" t="s">
        <v>17</v>
      </c>
      <c r="E106" s="8">
        <v>59.816101639999999</v>
      </c>
      <c r="F106" s="8">
        <v>0.11826948008278866</v>
      </c>
      <c r="G106" s="8">
        <v>13.641396309548981</v>
      </c>
      <c r="H106" s="8">
        <v>8.6698954710376676E-3</v>
      </c>
    </row>
    <row r="107" spans="1:8" x14ac:dyDescent="0.45">
      <c r="A107" s="8" t="s">
        <v>285</v>
      </c>
      <c r="B107" s="8" t="s">
        <v>286</v>
      </c>
      <c r="C107" s="8">
        <v>27</v>
      </c>
      <c r="D107" s="8" t="s">
        <v>17</v>
      </c>
      <c r="E107" s="8">
        <v>43.494634359999999</v>
      </c>
      <c r="F107" s="8">
        <v>0.36935755025855033</v>
      </c>
      <c r="G107" s="8">
        <v>13.641396309548981</v>
      </c>
      <c r="H107" s="8">
        <v>2.7076227526649888E-2</v>
      </c>
    </row>
    <row r="108" spans="1:8" x14ac:dyDescent="0.45">
      <c r="A108" s="8" t="s">
        <v>287</v>
      </c>
      <c r="B108" s="8" t="s">
        <v>288</v>
      </c>
      <c r="C108" s="8">
        <v>27</v>
      </c>
      <c r="D108" s="8" t="s">
        <v>17</v>
      </c>
      <c r="E108" s="8">
        <v>26.230212299999998</v>
      </c>
      <c r="F108" s="8">
        <v>0.24332798017032961</v>
      </c>
      <c r="G108" s="8">
        <v>13.641396309548981</v>
      </c>
      <c r="H108" s="8">
        <v>1.7837468734780468E-2</v>
      </c>
    </row>
    <row r="109" spans="1:8" x14ac:dyDescent="0.45">
      <c r="A109" s="8" t="s">
        <v>289</v>
      </c>
      <c r="B109" s="8" t="s">
        <v>290</v>
      </c>
      <c r="C109" s="8">
        <v>27</v>
      </c>
      <c r="D109" s="8" t="s">
        <v>17</v>
      </c>
      <c r="E109" s="8">
        <v>28.705622850000001</v>
      </c>
      <c r="F109" s="8">
        <v>0.14378873010065213</v>
      </c>
      <c r="G109" s="8">
        <v>13.641396309548981</v>
      </c>
      <c r="H109" s="8">
        <v>1.0540616725576692E-2</v>
      </c>
    </row>
    <row r="110" spans="1:8" x14ac:dyDescent="0.45">
      <c r="A110" s="8" t="s">
        <v>291</v>
      </c>
      <c r="B110" s="8" t="s">
        <v>292</v>
      </c>
      <c r="C110" s="8">
        <v>27</v>
      </c>
      <c r="D110" s="8" t="s">
        <v>17</v>
      </c>
      <c r="E110" s="8">
        <v>18.58311728</v>
      </c>
      <c r="F110" s="8">
        <v>6.4915490045440852E-2</v>
      </c>
      <c r="G110" s="8">
        <v>13.641396309548981</v>
      </c>
      <c r="H110" s="8">
        <v>4.758713006527051E-3</v>
      </c>
    </row>
    <row r="111" spans="1:8" x14ac:dyDescent="0.45">
      <c r="A111" s="8" t="s">
        <v>293</v>
      </c>
      <c r="B111" s="8" t="s">
        <v>294</v>
      </c>
      <c r="C111" s="8">
        <v>27</v>
      </c>
      <c r="D111" s="8" t="s">
        <v>17</v>
      </c>
      <c r="E111" s="8">
        <v>20.66691436</v>
      </c>
      <c r="F111" s="8">
        <v>7.1836970050285887E-2</v>
      </c>
      <c r="G111" s="8">
        <v>13.641396309548981</v>
      </c>
      <c r="H111" s="8">
        <v>5.2661009489182566E-3</v>
      </c>
    </row>
    <row r="112" spans="1:8" x14ac:dyDescent="0.45">
      <c r="A112" s="8" t="s">
        <v>295</v>
      </c>
      <c r="B112" s="8" t="s">
        <v>296</v>
      </c>
      <c r="C112" s="8">
        <v>27</v>
      </c>
      <c r="D112" s="8" t="s">
        <v>17</v>
      </c>
      <c r="E112" s="8">
        <v>13.76982097</v>
      </c>
      <c r="F112" s="8">
        <v>0.11086816007760773</v>
      </c>
      <c r="G112" s="8">
        <v>13.641396309548981</v>
      </c>
      <c r="H112" s="8">
        <v>8.1273322438407559E-3</v>
      </c>
    </row>
    <row r="113" spans="1:8" x14ac:dyDescent="0.45">
      <c r="A113" s="8" t="s">
        <v>297</v>
      </c>
      <c r="B113" s="8" t="s">
        <v>298</v>
      </c>
      <c r="C113" s="8">
        <v>27</v>
      </c>
      <c r="D113" s="8" t="s">
        <v>17</v>
      </c>
      <c r="E113" s="8">
        <v>22.517422840000002</v>
      </c>
      <c r="F113" s="8">
        <v>0.10054945007038463</v>
      </c>
      <c r="G113" s="8">
        <v>13.641396309548981</v>
      </c>
      <c r="H113" s="8">
        <v>7.3709060120187245E-3</v>
      </c>
    </row>
    <row r="114" spans="1:8" x14ac:dyDescent="0.45">
      <c r="A114" s="8" t="s">
        <v>299</v>
      </c>
      <c r="B114" s="8" t="s">
        <v>300</v>
      </c>
      <c r="C114" s="8">
        <v>27</v>
      </c>
      <c r="D114" s="8" t="s">
        <v>17</v>
      </c>
      <c r="E114" s="8">
        <v>14.88552819</v>
      </c>
      <c r="F114" s="8">
        <v>0.31207747021845428</v>
      </c>
      <c r="G114" s="8">
        <v>13.641396309548981</v>
      </c>
      <c r="H114" s="8">
        <v>2.2877238014117365E-2</v>
      </c>
    </row>
    <row r="115" spans="1:8" x14ac:dyDescent="0.45">
      <c r="A115" s="8" t="s">
        <v>301</v>
      </c>
      <c r="B115" s="8" t="s">
        <v>302</v>
      </c>
      <c r="C115" s="8">
        <v>27</v>
      </c>
      <c r="D115" s="8" t="s">
        <v>17</v>
      </c>
      <c r="E115" s="8">
        <v>23.072737780000001</v>
      </c>
      <c r="F115" s="8">
        <v>0.10727332007509136</v>
      </c>
      <c r="G115" s="8">
        <v>13.641396309548981</v>
      </c>
      <c r="H115" s="8">
        <v>7.8638079006618997E-3</v>
      </c>
    </row>
    <row r="116" spans="1:8" x14ac:dyDescent="0.45">
      <c r="A116" s="8" t="s">
        <v>303</v>
      </c>
      <c r="B116" s="8" t="s">
        <v>304</v>
      </c>
      <c r="C116" s="8">
        <v>27</v>
      </c>
      <c r="D116" s="8" t="s">
        <v>17</v>
      </c>
      <c r="E116" s="8">
        <v>38.322889080000003</v>
      </c>
      <c r="F116" s="8">
        <v>0.12635456008844823</v>
      </c>
      <c r="G116" s="8">
        <v>13.641396309548981</v>
      </c>
      <c r="H116" s="8">
        <v>9.2625825994073641E-3</v>
      </c>
    </row>
    <row r="117" spans="1:8" x14ac:dyDescent="0.45">
      <c r="A117" s="8" t="s">
        <v>305</v>
      </c>
      <c r="B117" s="8" t="s">
        <v>306</v>
      </c>
      <c r="C117" s="8">
        <v>27</v>
      </c>
      <c r="D117" s="8" t="s">
        <v>17</v>
      </c>
      <c r="E117" s="8">
        <v>27.855675400000003</v>
      </c>
      <c r="F117" s="8">
        <v>0.11087889007761523</v>
      </c>
      <c r="G117" s="8">
        <v>13.641396309548981</v>
      </c>
      <c r="H117" s="8">
        <v>8.1281188202119731E-3</v>
      </c>
    </row>
    <row r="118" spans="1:8" x14ac:dyDescent="0.45">
      <c r="A118" s="8" t="s">
        <v>307</v>
      </c>
      <c r="B118" s="8" t="s">
        <v>308</v>
      </c>
      <c r="C118" s="8">
        <v>27</v>
      </c>
      <c r="D118" s="8" t="s">
        <v>17</v>
      </c>
      <c r="E118" s="8">
        <v>25.987898710000003</v>
      </c>
      <c r="F118" s="8">
        <v>5.3130360037191258E-2</v>
      </c>
      <c r="G118" s="8">
        <v>13.641396309548981</v>
      </c>
      <c r="H118" s="8">
        <v>3.8947889813889503E-3</v>
      </c>
    </row>
    <row r="119" spans="1:8" x14ac:dyDescent="0.45">
      <c r="A119" s="8" t="s">
        <v>309</v>
      </c>
      <c r="B119" s="8" t="s">
        <v>310</v>
      </c>
      <c r="C119" s="8">
        <v>27</v>
      </c>
      <c r="D119" s="8" t="s">
        <v>17</v>
      </c>
      <c r="E119" s="8">
        <v>24.126151619999998</v>
      </c>
      <c r="F119" s="8">
        <v>0.10782721007547907</v>
      </c>
      <c r="G119" s="8">
        <v>13.641396309548981</v>
      </c>
      <c r="H119" s="8">
        <v>7.9044115154106327E-3</v>
      </c>
    </row>
    <row r="120" spans="1:8" x14ac:dyDescent="0.45">
      <c r="A120" s="8" t="s">
        <v>311</v>
      </c>
      <c r="B120" s="8" t="s">
        <v>312</v>
      </c>
      <c r="C120" s="8">
        <v>27</v>
      </c>
      <c r="D120" s="8" t="s">
        <v>17</v>
      </c>
      <c r="E120" s="8">
        <v>23.369886400000002</v>
      </c>
      <c r="F120" s="8">
        <v>0.14871039010409731</v>
      </c>
      <c r="G120" s="8">
        <v>13.641396309548981</v>
      </c>
      <c r="H120" s="8">
        <v>1.0901405305555122E-2</v>
      </c>
    </row>
    <row r="121" spans="1:8" x14ac:dyDescent="0.45">
      <c r="A121" s="8" t="s">
        <v>313</v>
      </c>
      <c r="B121" s="8" t="s">
        <v>314</v>
      </c>
      <c r="C121" s="8">
        <v>27</v>
      </c>
      <c r="D121" s="8" t="s">
        <v>17</v>
      </c>
      <c r="E121" s="8">
        <v>31.595684979999998</v>
      </c>
      <c r="F121" s="8">
        <v>0.29733096020813177</v>
      </c>
      <c r="G121" s="8">
        <v>13.641396309548981</v>
      </c>
      <c r="H121" s="8">
        <v>2.179622624115099E-2</v>
      </c>
    </row>
    <row r="122" spans="1:8" x14ac:dyDescent="0.45">
      <c r="A122" s="8" t="s">
        <v>315</v>
      </c>
      <c r="B122" s="8" t="s">
        <v>316</v>
      </c>
      <c r="C122" s="8">
        <v>27</v>
      </c>
      <c r="D122" s="8" t="s">
        <v>17</v>
      </c>
      <c r="E122" s="8">
        <v>25.976353450000001</v>
      </c>
      <c r="F122" s="8">
        <v>0.3807507602665256</v>
      </c>
      <c r="G122" s="8">
        <v>13.641396309548981</v>
      </c>
      <c r="H122" s="8">
        <v>2.7911421355011876E-2</v>
      </c>
    </row>
    <row r="123" spans="1:8" x14ac:dyDescent="0.45">
      <c r="A123" s="8" t="s">
        <v>317</v>
      </c>
      <c r="B123" s="8" t="s">
        <v>318</v>
      </c>
      <c r="C123" s="8">
        <v>27</v>
      </c>
      <c r="D123" s="8" t="s">
        <v>17</v>
      </c>
      <c r="E123" s="8">
        <v>16.090850930000002</v>
      </c>
      <c r="F123" s="8">
        <v>9.2125570064487905E-2</v>
      </c>
      <c r="G123" s="8">
        <v>13.641396309548981</v>
      </c>
      <c r="H123" s="8">
        <v>6.7533827164012522E-3</v>
      </c>
    </row>
    <row r="124" spans="1:8" x14ac:dyDescent="0.45">
      <c r="A124" s="8" t="s">
        <v>319</v>
      </c>
      <c r="B124" s="8" t="s">
        <v>320</v>
      </c>
      <c r="C124" s="8">
        <v>27</v>
      </c>
      <c r="D124" s="8" t="s">
        <v>17</v>
      </c>
      <c r="E124" s="8">
        <v>24.63699119</v>
      </c>
      <c r="F124" s="8">
        <v>5.032564003522795E-2</v>
      </c>
      <c r="G124" s="8">
        <v>13.641396309548981</v>
      </c>
      <c r="H124" s="8">
        <v>3.6891853951930118E-3</v>
      </c>
    </row>
    <row r="125" spans="1:8" x14ac:dyDescent="0.45">
      <c r="A125" s="8" t="s">
        <v>321</v>
      </c>
      <c r="B125" s="8" t="s">
        <v>322</v>
      </c>
      <c r="C125" s="8">
        <v>27</v>
      </c>
      <c r="D125" s="8" t="s">
        <v>17</v>
      </c>
      <c r="E125" s="8">
        <v>23.308619090000001</v>
      </c>
      <c r="F125" s="8">
        <v>0.19452811013616969</v>
      </c>
      <c r="G125" s="8">
        <v>13.641396309548981</v>
      </c>
      <c r="H125" s="8">
        <v>1.4260131860548614E-2</v>
      </c>
    </row>
    <row r="126" spans="1:8" x14ac:dyDescent="0.45">
      <c r="A126" s="8" t="s">
        <v>323</v>
      </c>
      <c r="B126" s="8" t="s">
        <v>324</v>
      </c>
      <c r="C126" s="8">
        <v>27</v>
      </c>
      <c r="D126" s="8" t="s">
        <v>17</v>
      </c>
      <c r="E126" s="8">
        <v>18.701837579999999</v>
      </c>
      <c r="F126" s="8">
        <v>7.0273210049191265E-2</v>
      </c>
      <c r="G126" s="8">
        <v>13.641396309548981</v>
      </c>
      <c r="H126" s="8">
        <v>5.1514675224265715E-3</v>
      </c>
    </row>
    <row r="127" spans="1:8" x14ac:dyDescent="0.45">
      <c r="A127" s="8" t="s">
        <v>325</v>
      </c>
      <c r="B127" s="8" t="s">
        <v>326</v>
      </c>
      <c r="C127" s="8">
        <v>27</v>
      </c>
      <c r="D127" s="8" t="s">
        <v>17</v>
      </c>
      <c r="E127" s="8">
        <v>18.91657403</v>
      </c>
      <c r="F127" s="8">
        <v>0.14142201009899541</v>
      </c>
      <c r="G127" s="8">
        <v>13.641396309548981</v>
      </c>
      <c r="H127" s="8">
        <v>1.0367121289482658E-2</v>
      </c>
    </row>
    <row r="128" spans="1:8" x14ac:dyDescent="0.45">
      <c r="A128" s="8" t="s">
        <v>327</v>
      </c>
      <c r="B128" s="8" t="s">
        <v>328</v>
      </c>
      <c r="C128" s="8">
        <v>27</v>
      </c>
      <c r="D128" s="8" t="s">
        <v>17</v>
      </c>
      <c r="E128" s="8">
        <v>16.771159869999998</v>
      </c>
      <c r="F128" s="8">
        <v>5.6005180039203642E-2</v>
      </c>
      <c r="G128" s="8">
        <v>13.641396309548981</v>
      </c>
      <c r="H128" s="8">
        <v>4.1055313377267692E-3</v>
      </c>
    </row>
    <row r="129" spans="1:8" x14ac:dyDescent="0.45">
      <c r="A129" s="8" t="s">
        <v>329</v>
      </c>
      <c r="B129" s="8" t="s">
        <v>330</v>
      </c>
      <c r="C129" s="8">
        <v>27</v>
      </c>
      <c r="D129" s="8" t="s">
        <v>17</v>
      </c>
      <c r="E129" s="8">
        <v>24.97939517</v>
      </c>
      <c r="F129" s="8">
        <v>0.38058193026640741</v>
      </c>
      <c r="G129" s="8">
        <v>13.641396309548981</v>
      </c>
      <c r="H129" s="8">
        <v>2.7899045055966885E-2</v>
      </c>
    </row>
    <row r="130" spans="1:8" x14ac:dyDescent="0.45">
      <c r="A130" s="8" t="s">
        <v>331</v>
      </c>
      <c r="B130" s="8" t="s">
        <v>332</v>
      </c>
      <c r="C130" s="8">
        <v>27</v>
      </c>
      <c r="D130" s="8" t="s">
        <v>17</v>
      </c>
      <c r="E130" s="8">
        <v>21.480446929999999</v>
      </c>
      <c r="F130" s="8">
        <v>0.35543515024880468</v>
      </c>
      <c r="G130" s="8">
        <v>13.641396309548981</v>
      </c>
      <c r="H130" s="8">
        <v>2.6055628191081877E-2</v>
      </c>
    </row>
    <row r="131" spans="1:8" x14ac:dyDescent="0.45">
      <c r="A131" s="8" t="s">
        <v>333</v>
      </c>
      <c r="B131" s="8" t="s">
        <v>334</v>
      </c>
      <c r="C131" s="8">
        <v>27</v>
      </c>
      <c r="D131" s="8" t="s">
        <v>17</v>
      </c>
      <c r="E131" s="8">
        <v>38.736297149999999</v>
      </c>
      <c r="F131" s="8">
        <v>0.58090954040663678</v>
      </c>
      <c r="G131" s="8">
        <v>13.641396309548981</v>
      </c>
      <c r="H131" s="8">
        <v>4.2584316680250686E-2</v>
      </c>
    </row>
    <row r="132" spans="1:8" x14ac:dyDescent="0.45">
      <c r="A132" s="8" t="s">
        <v>335</v>
      </c>
      <c r="B132" s="8" t="s">
        <v>336</v>
      </c>
      <c r="C132" s="8">
        <v>27</v>
      </c>
      <c r="D132" s="8" t="s">
        <v>17</v>
      </c>
      <c r="E132" s="8">
        <v>27.24793828</v>
      </c>
      <c r="F132" s="8">
        <v>7.6313880053419728E-2</v>
      </c>
      <c r="G132" s="8">
        <v>13.641396309548981</v>
      </c>
      <c r="H132" s="8">
        <v>5.5942865614130709E-3</v>
      </c>
    </row>
    <row r="133" spans="1:8" x14ac:dyDescent="0.45">
      <c r="A133" s="8" t="s">
        <v>337</v>
      </c>
      <c r="B133" s="8" t="s">
        <v>338</v>
      </c>
      <c r="C133" s="8">
        <v>27</v>
      </c>
      <c r="D133" s="8" t="s">
        <v>17</v>
      </c>
      <c r="E133" s="8">
        <v>29.442960699999997</v>
      </c>
      <c r="F133" s="8">
        <v>0.43520172030464127</v>
      </c>
      <c r="G133" s="8">
        <v>13.641396309548981</v>
      </c>
      <c r="H133" s="8">
        <v>3.1903018608146441E-2</v>
      </c>
    </row>
    <row r="134" spans="1:8" x14ac:dyDescent="0.45">
      <c r="A134" s="8" t="s">
        <v>339</v>
      </c>
      <c r="B134" s="8" t="s">
        <v>340</v>
      </c>
      <c r="C134" s="8">
        <v>27</v>
      </c>
      <c r="D134" s="8" t="s">
        <v>17</v>
      </c>
      <c r="E134" s="8">
        <v>26.440348369999999</v>
      </c>
      <c r="F134" s="8">
        <v>0.20248717014174103</v>
      </c>
      <c r="G134" s="8">
        <v>13.641396309548981</v>
      </c>
      <c r="H134" s="8">
        <v>1.4843580931667528E-2</v>
      </c>
    </row>
    <row r="135" spans="1:8" x14ac:dyDescent="0.45">
      <c r="A135" s="8" t="s">
        <v>341</v>
      </c>
      <c r="B135" s="8" t="s">
        <v>342</v>
      </c>
      <c r="C135" s="8">
        <v>28</v>
      </c>
      <c r="D135" s="8" t="s">
        <v>18</v>
      </c>
      <c r="E135" s="8">
        <v>22.55278311</v>
      </c>
      <c r="F135" s="8">
        <v>0.46643365032650363</v>
      </c>
      <c r="G135" s="8">
        <v>0.87462236061223586</v>
      </c>
      <c r="H135" s="8">
        <v>0.53329719354533767</v>
      </c>
    </row>
    <row r="136" spans="1:8" x14ac:dyDescent="0.45">
      <c r="A136" s="8" t="s">
        <v>343</v>
      </c>
      <c r="B136" s="8" t="s">
        <v>344</v>
      </c>
      <c r="C136" s="8">
        <v>28</v>
      </c>
      <c r="D136" s="8" t="s">
        <v>18</v>
      </c>
      <c r="E136" s="8">
        <v>19.284802039999999</v>
      </c>
      <c r="F136" s="8">
        <v>0.15376963010763878</v>
      </c>
      <c r="G136" s="8">
        <v>0.87462236061223586</v>
      </c>
      <c r="H136" s="8">
        <v>0.17581259870831567</v>
      </c>
    </row>
    <row r="137" spans="1:8" x14ac:dyDescent="0.45">
      <c r="A137" s="8" t="s">
        <v>345</v>
      </c>
      <c r="B137" s="8" t="s">
        <v>346</v>
      </c>
      <c r="C137" s="8">
        <v>28</v>
      </c>
      <c r="D137" s="8" t="s">
        <v>18</v>
      </c>
      <c r="E137" s="8">
        <v>19.338092150000001</v>
      </c>
      <c r="F137" s="8">
        <v>0.25441908017809339</v>
      </c>
      <c r="G137" s="8">
        <v>0.87462236061223586</v>
      </c>
      <c r="H137" s="8">
        <v>0.29089020774634666</v>
      </c>
    </row>
    <row r="138" spans="1:8" x14ac:dyDescent="0.45">
      <c r="A138" s="8" t="s">
        <v>375</v>
      </c>
      <c r="B138" s="8" t="s">
        <v>376</v>
      </c>
      <c r="C138" s="8">
        <v>32</v>
      </c>
      <c r="D138" s="8" t="s">
        <v>20</v>
      </c>
      <c r="E138" s="8">
        <v>30.606117470000001</v>
      </c>
      <c r="F138" s="8">
        <v>0.15460134010822096</v>
      </c>
      <c r="G138" s="8">
        <v>2.5914237818139974</v>
      </c>
      <c r="H138" s="8">
        <v>5.9658841287626059E-2</v>
      </c>
    </row>
    <row r="139" spans="1:8" x14ac:dyDescent="0.45">
      <c r="A139" s="8" t="s">
        <v>377</v>
      </c>
      <c r="B139" s="8" t="s">
        <v>378</v>
      </c>
      <c r="C139" s="8">
        <v>32</v>
      </c>
      <c r="D139" s="8" t="s">
        <v>20</v>
      </c>
      <c r="E139" s="8">
        <v>37.398527469999998</v>
      </c>
      <c r="F139" s="8">
        <v>0.28182837019727991</v>
      </c>
      <c r="G139" s="8">
        <v>2.5914237818139974</v>
      </c>
      <c r="H139" s="8">
        <v>0.10875425786206221</v>
      </c>
    </row>
    <row r="140" spans="1:8" x14ac:dyDescent="0.45">
      <c r="A140" s="8" t="s">
        <v>379</v>
      </c>
      <c r="B140" s="8" t="s">
        <v>380</v>
      </c>
      <c r="C140" s="8">
        <v>32</v>
      </c>
      <c r="D140" s="8" t="s">
        <v>20</v>
      </c>
      <c r="E140" s="8">
        <v>36.020710059999999</v>
      </c>
      <c r="F140" s="8">
        <v>0.57413890040189741</v>
      </c>
      <c r="G140" s="8">
        <v>2.5914237818139974</v>
      </c>
      <c r="H140" s="8">
        <v>0.22155345815341712</v>
      </c>
    </row>
    <row r="141" spans="1:8" x14ac:dyDescent="0.45">
      <c r="A141" s="8" t="s">
        <v>381</v>
      </c>
      <c r="B141" s="8" t="s">
        <v>382</v>
      </c>
      <c r="C141" s="8">
        <v>32</v>
      </c>
      <c r="D141" s="8" t="s">
        <v>20</v>
      </c>
      <c r="E141" s="8">
        <v>31.04559368</v>
      </c>
      <c r="F141" s="8">
        <v>0.5281535803697075</v>
      </c>
      <c r="G141" s="8">
        <v>2.5914237818139974</v>
      </c>
      <c r="H141" s="8">
        <v>0.20380826327062562</v>
      </c>
    </row>
    <row r="142" spans="1:8" x14ac:dyDescent="0.45">
      <c r="A142" s="8" t="s">
        <v>383</v>
      </c>
      <c r="B142" s="8" t="s">
        <v>384</v>
      </c>
      <c r="C142" s="8">
        <v>32</v>
      </c>
      <c r="D142" s="8" t="s">
        <v>20</v>
      </c>
      <c r="E142" s="8">
        <v>42.747187689999997</v>
      </c>
      <c r="F142" s="8">
        <v>0.1050501100735351</v>
      </c>
      <c r="G142" s="8">
        <v>2.5914237818139974</v>
      </c>
      <c r="H142" s="8">
        <v>4.0537603618038882E-2</v>
      </c>
    </row>
    <row r="143" spans="1:8" x14ac:dyDescent="0.45">
      <c r="A143" s="8" t="s">
        <v>385</v>
      </c>
      <c r="B143" s="8" t="s">
        <v>386</v>
      </c>
      <c r="C143" s="8">
        <v>32</v>
      </c>
      <c r="D143" s="8" t="s">
        <v>20</v>
      </c>
      <c r="E143" s="8">
        <v>25.975000000000001</v>
      </c>
      <c r="F143" s="8">
        <v>0.21248387014873873</v>
      </c>
      <c r="G143" s="8">
        <v>2.5914237818139974</v>
      </c>
      <c r="H143" s="8">
        <v>8.1995029774713249E-2</v>
      </c>
    </row>
    <row r="144" spans="1:8" x14ac:dyDescent="0.45">
      <c r="A144" s="8" t="s">
        <v>387</v>
      </c>
      <c r="B144" s="8" t="s">
        <v>388</v>
      </c>
      <c r="C144" s="8">
        <v>32</v>
      </c>
      <c r="D144" s="8" t="s">
        <v>20</v>
      </c>
      <c r="E144" s="8">
        <v>14.806505889999999</v>
      </c>
      <c r="F144" s="8">
        <v>0.19781286013846908</v>
      </c>
      <c r="G144" s="8">
        <v>2.5914237818139974</v>
      </c>
      <c r="H144" s="8">
        <v>7.6333659329158435E-2</v>
      </c>
    </row>
    <row r="145" spans="1:8" x14ac:dyDescent="0.45">
      <c r="A145" s="8" t="s">
        <v>389</v>
      </c>
      <c r="B145" s="8" t="s">
        <v>390</v>
      </c>
      <c r="C145" s="8">
        <v>32</v>
      </c>
      <c r="D145" s="8" t="s">
        <v>20</v>
      </c>
      <c r="E145" s="8">
        <v>36.755823990000003</v>
      </c>
      <c r="F145" s="8">
        <v>0.19141970013399381</v>
      </c>
      <c r="G145" s="8">
        <v>2.5914237818139974</v>
      </c>
      <c r="H145" s="8">
        <v>7.3866613973882722E-2</v>
      </c>
    </row>
    <row r="146" spans="1:8" x14ac:dyDescent="0.45">
      <c r="A146" s="8" t="s">
        <v>391</v>
      </c>
      <c r="B146" s="8" t="s">
        <v>392</v>
      </c>
      <c r="C146" s="8">
        <v>32</v>
      </c>
      <c r="D146" s="8" t="s">
        <v>20</v>
      </c>
      <c r="E146" s="8">
        <v>44.234079170000001</v>
      </c>
      <c r="F146" s="8">
        <v>6.8900000048230006E-2</v>
      </c>
      <c r="G146" s="8">
        <v>2.5914237818139974</v>
      </c>
      <c r="H146" s="8">
        <v>2.6587700758075157E-2</v>
      </c>
    </row>
    <row r="147" spans="1:8" x14ac:dyDescent="0.45">
      <c r="A147" s="8" t="s">
        <v>393</v>
      </c>
      <c r="B147" s="8" t="s">
        <v>394</v>
      </c>
      <c r="C147" s="8">
        <v>32</v>
      </c>
      <c r="D147" s="8" t="s">
        <v>20</v>
      </c>
      <c r="E147" s="8">
        <v>36.948176579999995</v>
      </c>
      <c r="F147" s="8">
        <v>9.0200470063140345E-2</v>
      </c>
      <c r="G147" s="8">
        <v>2.5914237818139974</v>
      </c>
      <c r="H147" s="8">
        <v>3.4807301953523016E-2</v>
      </c>
    </row>
    <row r="148" spans="1:8" x14ac:dyDescent="0.45">
      <c r="A148" s="8" t="s">
        <v>395</v>
      </c>
      <c r="B148" s="8" t="s">
        <v>396</v>
      </c>
      <c r="C148" s="8">
        <v>32</v>
      </c>
      <c r="D148" s="8" t="s">
        <v>20</v>
      </c>
      <c r="E148" s="8">
        <v>35.48990277</v>
      </c>
      <c r="F148" s="8">
        <v>0.10029005007020306</v>
      </c>
      <c r="G148" s="8">
        <v>2.5914237818139974</v>
      </c>
      <c r="H148" s="8">
        <v>3.8700752371732886E-2</v>
      </c>
    </row>
    <row r="149" spans="1:8" x14ac:dyDescent="0.45">
      <c r="A149" s="8" t="s">
        <v>397</v>
      </c>
      <c r="B149" s="8" t="s">
        <v>398</v>
      </c>
      <c r="C149" s="8">
        <v>32</v>
      </c>
      <c r="D149" s="8" t="s">
        <v>20</v>
      </c>
      <c r="E149" s="8">
        <v>58.156028370000001</v>
      </c>
      <c r="F149" s="8">
        <v>3.4621190024234839E-2</v>
      </c>
      <c r="G149" s="8">
        <v>2.5914237818139974</v>
      </c>
      <c r="H149" s="8">
        <v>1.3359910589382643E-2</v>
      </c>
    </row>
    <row r="150" spans="1:8" x14ac:dyDescent="0.45">
      <c r="A150" s="8" t="s">
        <v>399</v>
      </c>
      <c r="B150" s="8" t="s">
        <v>400</v>
      </c>
      <c r="C150" s="8">
        <v>32</v>
      </c>
      <c r="D150" s="8" t="s">
        <v>20</v>
      </c>
      <c r="E150" s="8">
        <v>18.37621116</v>
      </c>
      <c r="F150" s="8">
        <v>5.1923340036346355E-2</v>
      </c>
      <c r="G150" s="8">
        <v>2.5914237818139974</v>
      </c>
      <c r="H150" s="8">
        <v>2.0036607057761894E-2</v>
      </c>
    </row>
    <row r="151" spans="1:8" x14ac:dyDescent="0.45">
      <c r="A151" s="8" t="s">
        <v>347</v>
      </c>
      <c r="B151" s="8" t="s">
        <v>348</v>
      </c>
      <c r="C151" s="8">
        <v>33</v>
      </c>
      <c r="D151" s="8" t="s">
        <v>21</v>
      </c>
      <c r="E151" s="8">
        <v>33.058944580000002</v>
      </c>
      <c r="F151" s="8">
        <v>0.16352133011446496</v>
      </c>
      <c r="G151" s="8">
        <v>1.7991322012593929</v>
      </c>
      <c r="H151" s="8">
        <v>9.0889001931042088E-2</v>
      </c>
    </row>
    <row r="152" spans="1:8" x14ac:dyDescent="0.45">
      <c r="A152" s="8" t="s">
        <v>349</v>
      </c>
      <c r="B152" s="8" t="s">
        <v>350</v>
      </c>
      <c r="C152" s="8">
        <v>33</v>
      </c>
      <c r="D152" s="8" t="s">
        <v>21</v>
      </c>
      <c r="E152" s="8">
        <v>35.39765319</v>
      </c>
      <c r="F152" s="8">
        <v>5.4008030037805625E-2</v>
      </c>
      <c r="G152" s="8">
        <v>1.7991322012593929</v>
      </c>
      <c r="H152" s="8">
        <v>3.0018933572530132E-2</v>
      </c>
    </row>
    <row r="153" spans="1:8" x14ac:dyDescent="0.45">
      <c r="A153" s="8" t="s">
        <v>351</v>
      </c>
      <c r="B153" s="8" t="s">
        <v>352</v>
      </c>
      <c r="C153" s="8">
        <v>33</v>
      </c>
      <c r="D153" s="8" t="s">
        <v>21</v>
      </c>
      <c r="E153" s="8">
        <v>28.11091854</v>
      </c>
      <c r="F153" s="8">
        <v>0.11418736007993119</v>
      </c>
      <c r="G153" s="8">
        <v>1.7991322012593929</v>
      </c>
      <c r="H153" s="8">
        <v>6.3468020860279209E-2</v>
      </c>
    </row>
    <row r="154" spans="1:8" x14ac:dyDescent="0.45">
      <c r="A154" s="8" t="s">
        <v>353</v>
      </c>
      <c r="B154" s="8" t="s">
        <v>354</v>
      </c>
      <c r="C154" s="8">
        <v>33</v>
      </c>
      <c r="D154" s="8" t="s">
        <v>21</v>
      </c>
      <c r="E154" s="8">
        <v>25.79001019</v>
      </c>
      <c r="F154" s="8">
        <v>0.12814916008970445</v>
      </c>
      <c r="G154" s="8">
        <v>1.7991322012593929</v>
      </c>
      <c r="H154" s="8">
        <v>7.122831774118657E-2</v>
      </c>
    </row>
    <row r="155" spans="1:8" x14ac:dyDescent="0.45">
      <c r="A155" s="8" t="s">
        <v>355</v>
      </c>
      <c r="B155" s="8" t="s">
        <v>356</v>
      </c>
      <c r="C155" s="8">
        <v>33</v>
      </c>
      <c r="D155" s="8" t="s">
        <v>21</v>
      </c>
      <c r="E155" s="8">
        <v>19.38911023</v>
      </c>
      <c r="F155" s="8">
        <v>0.12906120009034286</v>
      </c>
      <c r="G155" s="8">
        <v>1.7991322012593929</v>
      </c>
      <c r="H155" s="8">
        <v>7.1735251028245725E-2</v>
      </c>
    </row>
    <row r="156" spans="1:8" x14ac:dyDescent="0.45">
      <c r="A156" s="8" t="s">
        <v>357</v>
      </c>
      <c r="B156" s="8" t="s">
        <v>358</v>
      </c>
      <c r="C156" s="8">
        <v>33</v>
      </c>
      <c r="D156" s="8" t="s">
        <v>21</v>
      </c>
      <c r="E156" s="8">
        <v>30.52450559</v>
      </c>
      <c r="F156" s="8">
        <v>0.11580756008106531</v>
      </c>
      <c r="G156" s="8">
        <v>1.7991322012593929</v>
      </c>
      <c r="H156" s="8">
        <v>6.4368566134272956E-2</v>
      </c>
    </row>
    <row r="157" spans="1:8" x14ac:dyDescent="0.45">
      <c r="A157" s="8" t="s">
        <v>359</v>
      </c>
      <c r="B157" s="8" t="s">
        <v>360</v>
      </c>
      <c r="C157" s="8">
        <v>33</v>
      </c>
      <c r="D157" s="8" t="s">
        <v>21</v>
      </c>
      <c r="E157" s="8">
        <v>34.487675699999997</v>
      </c>
      <c r="F157" s="8">
        <v>0.29065997020346201</v>
      </c>
      <c r="G157" s="8">
        <v>1.7991322012593929</v>
      </c>
      <c r="H157" s="8">
        <v>0.16155564888450108</v>
      </c>
    </row>
    <row r="158" spans="1:8" x14ac:dyDescent="0.45">
      <c r="A158" s="8" t="s">
        <v>361</v>
      </c>
      <c r="B158" s="8" t="s">
        <v>362</v>
      </c>
      <c r="C158" s="8">
        <v>33</v>
      </c>
      <c r="D158" s="8" t="s">
        <v>21</v>
      </c>
      <c r="E158" s="8">
        <v>40.443896419999994</v>
      </c>
      <c r="F158" s="8">
        <v>0.12596796008817759</v>
      </c>
      <c r="G158" s="8">
        <v>1.7991322012593929</v>
      </c>
      <c r="H158" s="8">
        <v>7.0015955470087182E-2</v>
      </c>
    </row>
    <row r="159" spans="1:8" x14ac:dyDescent="0.45">
      <c r="A159" s="8" t="s">
        <v>363</v>
      </c>
      <c r="B159" s="8" t="s">
        <v>364</v>
      </c>
      <c r="C159" s="8">
        <v>33</v>
      </c>
      <c r="D159" s="8" t="s">
        <v>21</v>
      </c>
      <c r="E159" s="8">
        <v>34.361429680000001</v>
      </c>
      <c r="F159" s="8">
        <v>0.31134671021794275</v>
      </c>
      <c r="G159" s="8">
        <v>1.7991322012593929</v>
      </c>
      <c r="H159" s="8">
        <v>0.17305382561659449</v>
      </c>
    </row>
    <row r="160" spans="1:8" x14ac:dyDescent="0.45">
      <c r="A160" s="8" t="s">
        <v>365</v>
      </c>
      <c r="B160" s="8" t="s">
        <v>366</v>
      </c>
      <c r="C160" s="8">
        <v>33</v>
      </c>
      <c r="D160" s="8" t="s">
        <v>21</v>
      </c>
      <c r="E160" s="8">
        <v>34.04255319</v>
      </c>
      <c r="F160" s="8">
        <v>4.057010002839908E-2</v>
      </c>
      <c r="G160" s="8">
        <v>1.7991322012593929</v>
      </c>
      <c r="H160" s="8">
        <v>2.2549815961272885E-2</v>
      </c>
    </row>
    <row r="161" spans="1:8" x14ac:dyDescent="0.45">
      <c r="A161" s="8" t="s">
        <v>367</v>
      </c>
      <c r="B161" s="8" t="s">
        <v>368</v>
      </c>
      <c r="C161" s="8">
        <v>33</v>
      </c>
      <c r="D161" s="8" t="s">
        <v>21</v>
      </c>
      <c r="E161" s="8">
        <v>31.27705628</v>
      </c>
      <c r="F161" s="8">
        <v>9.4779080066345361E-2</v>
      </c>
      <c r="G161" s="8">
        <v>1.7991322012593929</v>
      </c>
      <c r="H161" s="8">
        <v>5.2680442271001535E-2</v>
      </c>
    </row>
    <row r="162" spans="1:8" x14ac:dyDescent="0.45">
      <c r="A162" s="8" t="s">
        <v>369</v>
      </c>
      <c r="B162" s="8" t="s">
        <v>370</v>
      </c>
      <c r="C162" s="8">
        <v>33</v>
      </c>
      <c r="D162" s="8" t="s">
        <v>21</v>
      </c>
      <c r="E162" s="8">
        <v>19.552529180000001</v>
      </c>
      <c r="F162" s="8">
        <v>4.3803650030662562E-2</v>
      </c>
      <c r="G162" s="8">
        <v>1.7991322012593929</v>
      </c>
      <c r="H162" s="8">
        <v>2.4347099118119279E-2</v>
      </c>
    </row>
    <row r="163" spans="1:8" x14ac:dyDescent="0.45">
      <c r="A163" s="8" t="s">
        <v>371</v>
      </c>
      <c r="B163" s="8" t="s">
        <v>372</v>
      </c>
      <c r="C163" s="8">
        <v>33</v>
      </c>
      <c r="D163" s="8" t="s">
        <v>21</v>
      </c>
      <c r="E163" s="8">
        <v>26.937077479999999</v>
      </c>
      <c r="F163" s="8">
        <v>0.15450602010815426</v>
      </c>
      <c r="G163" s="8">
        <v>1.7991322012593929</v>
      </c>
      <c r="H163" s="8">
        <v>8.5878080554614059E-2</v>
      </c>
    </row>
    <row r="164" spans="1:8" x14ac:dyDescent="0.45">
      <c r="A164" s="8" t="s">
        <v>373</v>
      </c>
      <c r="B164" s="8" t="s">
        <v>374</v>
      </c>
      <c r="C164" s="8">
        <v>33</v>
      </c>
      <c r="D164" s="8" t="s">
        <v>21</v>
      </c>
      <c r="E164" s="8">
        <v>56.756756760000002</v>
      </c>
      <c r="F164" s="8">
        <v>3.2764070022934855E-2</v>
      </c>
      <c r="G164" s="8">
        <v>1.7991322012593929</v>
      </c>
      <c r="H164" s="8">
        <v>1.8211040856252809E-2</v>
      </c>
    </row>
    <row r="165" spans="1:8" x14ac:dyDescent="0.45">
      <c r="A165" s="8" t="s">
        <v>401</v>
      </c>
      <c r="B165" s="8" t="s">
        <v>402</v>
      </c>
      <c r="C165" s="8">
        <v>34</v>
      </c>
      <c r="D165" s="8" t="s">
        <v>22</v>
      </c>
      <c r="E165" s="8">
        <v>38.025990100000001</v>
      </c>
      <c r="F165" s="8">
        <v>0.15625470010937834</v>
      </c>
      <c r="G165" s="8">
        <v>0.37653501026357461</v>
      </c>
      <c r="H165" s="8">
        <v>0.41498053527612216</v>
      </c>
    </row>
    <row r="166" spans="1:8" x14ac:dyDescent="0.45">
      <c r="A166" s="8" t="s">
        <v>403</v>
      </c>
      <c r="B166" s="8" t="s">
        <v>404</v>
      </c>
      <c r="C166" s="8">
        <v>34</v>
      </c>
      <c r="D166" s="8" t="s">
        <v>22</v>
      </c>
      <c r="E166" s="8">
        <v>20.414919440000002</v>
      </c>
      <c r="F166" s="8">
        <v>0.2202803101541963</v>
      </c>
      <c r="G166" s="8">
        <v>0.37653501026357461</v>
      </c>
      <c r="H166" s="8">
        <v>0.58501946472387789</v>
      </c>
    </row>
    <row r="167" spans="1:8" x14ac:dyDescent="0.45">
      <c r="A167" s="8" t="s">
        <v>405</v>
      </c>
      <c r="B167" s="8" t="s">
        <v>406</v>
      </c>
      <c r="C167" s="8">
        <v>35</v>
      </c>
      <c r="D167" s="8" t="s">
        <v>23</v>
      </c>
      <c r="E167" s="8">
        <v>26.40289138</v>
      </c>
      <c r="F167" s="8">
        <v>0.35924775025147349</v>
      </c>
      <c r="G167" s="8">
        <v>1.1473561408031494</v>
      </c>
      <c r="H167" s="8">
        <v>0.31310918857330561</v>
      </c>
    </row>
    <row r="168" spans="1:8" x14ac:dyDescent="0.45">
      <c r="A168" s="8" t="s">
        <v>407</v>
      </c>
      <c r="B168" s="8" t="s">
        <v>408</v>
      </c>
      <c r="C168" s="8">
        <v>35</v>
      </c>
      <c r="D168" s="8" t="s">
        <v>23</v>
      </c>
      <c r="E168" s="8">
        <v>24.78684531</v>
      </c>
      <c r="F168" s="8">
        <v>0.14010565009807399</v>
      </c>
      <c r="G168" s="8">
        <v>1.1473561408031494</v>
      </c>
      <c r="H168" s="8">
        <v>0.12211173594277364</v>
      </c>
    </row>
    <row r="169" spans="1:8" x14ac:dyDescent="0.45">
      <c r="A169" s="8" t="s">
        <v>409</v>
      </c>
      <c r="B169" s="8" t="s">
        <v>410</v>
      </c>
      <c r="C169" s="8">
        <v>35</v>
      </c>
      <c r="D169" s="8" t="s">
        <v>23</v>
      </c>
      <c r="E169" s="8">
        <v>24.35686918</v>
      </c>
      <c r="F169" s="8">
        <v>0.13538268009476792</v>
      </c>
      <c r="G169" s="8">
        <v>1.1473561408031494</v>
      </c>
      <c r="H169" s="8">
        <v>0.11799534188225116</v>
      </c>
    </row>
    <row r="170" spans="1:8" x14ac:dyDescent="0.45">
      <c r="A170" s="8" t="s">
        <v>411</v>
      </c>
      <c r="B170" s="8" t="s">
        <v>412</v>
      </c>
      <c r="C170" s="8">
        <v>35</v>
      </c>
      <c r="D170" s="8" t="s">
        <v>23</v>
      </c>
      <c r="E170" s="8">
        <v>25.93181818</v>
      </c>
      <c r="F170" s="8">
        <v>0.51262006035883412</v>
      </c>
      <c r="G170" s="8">
        <v>1.1473561408031494</v>
      </c>
      <c r="H170" s="8">
        <v>0.44678373360166967</v>
      </c>
    </row>
    <row r="171" spans="1:8" x14ac:dyDescent="0.45">
      <c r="A171" s="8" t="s">
        <v>413</v>
      </c>
      <c r="B171" s="8" t="s">
        <v>414</v>
      </c>
      <c r="C171" s="8">
        <v>37</v>
      </c>
      <c r="D171" s="8" t="s">
        <v>24</v>
      </c>
      <c r="E171" s="8">
        <v>88.629218719999997</v>
      </c>
      <c r="F171" s="8">
        <v>1.6892827511824982</v>
      </c>
      <c r="G171" s="8">
        <v>5.1000027135700021</v>
      </c>
      <c r="H171" s="8">
        <v>0.33123173575725418</v>
      </c>
    </row>
    <row r="172" spans="1:8" x14ac:dyDescent="0.45">
      <c r="A172" s="8" t="s">
        <v>415</v>
      </c>
      <c r="B172" s="8" t="s">
        <v>416</v>
      </c>
      <c r="C172" s="8">
        <v>37</v>
      </c>
      <c r="D172" s="8" t="s">
        <v>24</v>
      </c>
      <c r="E172" s="8">
        <v>87.601364279999999</v>
      </c>
      <c r="F172" s="8">
        <v>1.6892827511824982</v>
      </c>
      <c r="G172" s="8">
        <v>5.1000027135700021</v>
      </c>
      <c r="H172" s="8">
        <v>0.33123173575725418</v>
      </c>
    </row>
    <row r="173" spans="1:8" x14ac:dyDescent="0.45">
      <c r="A173" s="8" t="s">
        <v>417</v>
      </c>
      <c r="B173" s="8" t="s">
        <v>418</v>
      </c>
      <c r="C173" s="8">
        <v>37</v>
      </c>
      <c r="D173" s="8" t="s">
        <v>24</v>
      </c>
      <c r="E173" s="8">
        <v>86.995962630000008</v>
      </c>
      <c r="F173" s="8">
        <v>1.6892827511824982</v>
      </c>
      <c r="G173" s="8">
        <v>5.1000027135700021</v>
      </c>
      <c r="H173" s="8">
        <v>0.33123173575725418</v>
      </c>
    </row>
    <row r="174" spans="1:8" x14ac:dyDescent="0.45">
      <c r="A174" s="8" t="s">
        <v>419</v>
      </c>
      <c r="B174" s="8" t="s">
        <v>420</v>
      </c>
      <c r="C174" s="8">
        <v>37</v>
      </c>
      <c r="D174" s="8" t="s">
        <v>24</v>
      </c>
      <c r="E174" s="8">
        <v>67.086440209999992</v>
      </c>
      <c r="F174" s="8">
        <v>1.6077230011254065E-2</v>
      </c>
      <c r="G174" s="8">
        <v>5.1000027135700021</v>
      </c>
      <c r="H174" s="8">
        <v>3.1523963641187955E-3</v>
      </c>
    </row>
    <row r="175" spans="1:8" x14ac:dyDescent="0.45">
      <c r="A175" s="8" t="s">
        <v>421</v>
      </c>
      <c r="B175" s="8" t="s">
        <v>422</v>
      </c>
      <c r="C175" s="8">
        <v>37</v>
      </c>
      <c r="D175" s="8" t="s">
        <v>24</v>
      </c>
      <c r="E175" s="8">
        <v>23.376623380000002</v>
      </c>
      <c r="F175" s="8">
        <v>1.6077230011254065E-2</v>
      </c>
      <c r="G175" s="8">
        <v>5.1000027135700021</v>
      </c>
      <c r="H175" s="8">
        <v>3.1523963641187955E-3</v>
      </c>
    </row>
    <row r="176" spans="1:8" x14ac:dyDescent="0.45">
      <c r="A176" s="8" t="s">
        <v>423</v>
      </c>
      <c r="B176" s="8" t="s">
        <v>424</v>
      </c>
      <c r="C176" s="8">
        <v>38</v>
      </c>
      <c r="D176" s="8" t="s">
        <v>25</v>
      </c>
      <c r="E176" s="8">
        <v>68.019919889999997</v>
      </c>
      <c r="F176" s="8">
        <v>0.3390617702373433</v>
      </c>
      <c r="G176" s="8">
        <v>0.46023948032216772</v>
      </c>
      <c r="H176" s="8">
        <v>0.73670726813788334</v>
      </c>
    </row>
    <row r="177" spans="1:8" x14ac:dyDescent="0.45">
      <c r="A177" s="8" t="s">
        <v>425</v>
      </c>
      <c r="B177" s="8" t="s">
        <v>426</v>
      </c>
      <c r="C177" s="8">
        <v>38</v>
      </c>
      <c r="D177" s="8" t="s">
        <v>25</v>
      </c>
      <c r="E177" s="8">
        <v>37.954807969999997</v>
      </c>
      <c r="F177" s="8">
        <v>0.12117771008482443</v>
      </c>
      <c r="G177" s="8">
        <v>0.46023948032216772</v>
      </c>
      <c r="H177" s="8">
        <v>0.26329273186211671</v>
      </c>
    </row>
    <row r="178" spans="1:8" x14ac:dyDescent="0.45">
      <c r="A178" s="8" t="s">
        <v>427</v>
      </c>
      <c r="B178" s="8" t="s">
        <v>428</v>
      </c>
      <c r="C178" s="8">
        <v>40</v>
      </c>
      <c r="D178" s="8" t="s">
        <v>26</v>
      </c>
      <c r="E178" s="8">
        <v>15.08533027</v>
      </c>
      <c r="F178" s="8">
        <v>1.1976928008383851</v>
      </c>
      <c r="G178" s="8">
        <v>1.6242166711369519</v>
      </c>
      <c r="H178" s="8">
        <v>0.73739718482263827</v>
      </c>
    </row>
    <row r="179" spans="1:8" x14ac:dyDescent="0.45">
      <c r="A179" s="8" t="s">
        <v>429</v>
      </c>
      <c r="B179" s="8" t="s">
        <v>430</v>
      </c>
      <c r="C179" s="8">
        <v>40</v>
      </c>
      <c r="D179" s="8" t="s">
        <v>26</v>
      </c>
      <c r="E179" s="8">
        <v>15.54391811</v>
      </c>
      <c r="F179" s="8">
        <v>0.36129919025290952</v>
      </c>
      <c r="G179" s="8">
        <v>1.6242166711369519</v>
      </c>
      <c r="H179" s="8">
        <v>0.2224451926109095</v>
      </c>
    </row>
    <row r="180" spans="1:8" x14ac:dyDescent="0.45">
      <c r="A180" s="8" t="s">
        <v>431</v>
      </c>
      <c r="B180" s="8" t="s">
        <v>432</v>
      </c>
      <c r="C180" s="8">
        <v>40</v>
      </c>
      <c r="D180" s="8" t="s">
        <v>26</v>
      </c>
      <c r="E180" s="8">
        <v>11.87074082</v>
      </c>
      <c r="F180" s="8">
        <v>6.5224680045657291E-2</v>
      </c>
      <c r="G180" s="8">
        <v>1.6242166711369519</v>
      </c>
      <c r="H180" s="8">
        <v>4.0157622566452299E-2</v>
      </c>
    </row>
    <row r="181" spans="1:8" x14ac:dyDescent="0.45">
      <c r="A181" s="8" t="s">
        <v>433</v>
      </c>
      <c r="B181" s="8" t="s">
        <v>434</v>
      </c>
      <c r="C181" s="8">
        <v>41</v>
      </c>
      <c r="D181" s="8" t="s">
        <v>27</v>
      </c>
      <c r="E181" s="8">
        <v>12.882636450000001</v>
      </c>
      <c r="F181" s="8">
        <v>0.21315649014920962</v>
      </c>
      <c r="G181" s="8">
        <v>0.79786303055850438</v>
      </c>
      <c r="H181" s="8">
        <v>0.26715925163245124</v>
      </c>
    </row>
    <row r="182" spans="1:8" x14ac:dyDescent="0.45">
      <c r="A182" s="8" t="s">
        <v>435</v>
      </c>
      <c r="B182" s="8" t="s">
        <v>436</v>
      </c>
      <c r="C182" s="8">
        <v>41</v>
      </c>
      <c r="D182" s="8" t="s">
        <v>27</v>
      </c>
      <c r="E182" s="8">
        <v>17.43269862</v>
      </c>
      <c r="F182" s="8">
        <v>7.5178740052625134E-2</v>
      </c>
      <c r="G182" s="8">
        <v>0.79786303055850438</v>
      </c>
      <c r="H182" s="8">
        <v>9.4225120319210667E-2</v>
      </c>
    </row>
    <row r="183" spans="1:8" x14ac:dyDescent="0.45">
      <c r="A183" s="8" t="s">
        <v>437</v>
      </c>
      <c r="B183" s="8" t="s">
        <v>438</v>
      </c>
      <c r="C183" s="8">
        <v>41</v>
      </c>
      <c r="D183" s="8" t="s">
        <v>27</v>
      </c>
      <c r="E183" s="8">
        <v>8.6864406800000005</v>
      </c>
      <c r="F183" s="8">
        <v>0.36182083025327466</v>
      </c>
      <c r="G183" s="8">
        <v>0.79786303055850438</v>
      </c>
      <c r="H183" s="8">
        <v>0.45348739870802129</v>
      </c>
    </row>
    <row r="184" spans="1:8" x14ac:dyDescent="0.45">
      <c r="A184" s="8" t="s">
        <v>439</v>
      </c>
      <c r="B184" s="8" t="s">
        <v>440</v>
      </c>
      <c r="C184" s="8">
        <v>41</v>
      </c>
      <c r="D184" s="8" t="s">
        <v>27</v>
      </c>
      <c r="E184" s="8">
        <v>13.157894740000001</v>
      </c>
      <c r="F184" s="8">
        <v>0.1477069701033949</v>
      </c>
      <c r="G184" s="8">
        <v>0.79786303055850438</v>
      </c>
      <c r="H184" s="8">
        <v>0.18512822934031667</v>
      </c>
    </row>
    <row r="185" spans="1:8" x14ac:dyDescent="0.45">
      <c r="A185" s="8" t="s">
        <v>441</v>
      </c>
      <c r="B185" s="8" t="s">
        <v>442</v>
      </c>
      <c r="C185" s="8">
        <v>42</v>
      </c>
      <c r="D185" s="8" t="s">
        <v>28</v>
      </c>
      <c r="E185" s="8">
        <v>21.65541026</v>
      </c>
      <c r="F185" s="8">
        <v>0.31578445022104917</v>
      </c>
      <c r="G185" s="8">
        <v>1.3514848109460396</v>
      </c>
      <c r="H185" s="8">
        <v>0.23365741713367832</v>
      </c>
    </row>
    <row r="186" spans="1:8" x14ac:dyDescent="0.45">
      <c r="A186" s="8" t="s">
        <v>443</v>
      </c>
      <c r="B186" s="8" t="s">
        <v>444</v>
      </c>
      <c r="C186" s="8">
        <v>42</v>
      </c>
      <c r="D186" s="8" t="s">
        <v>28</v>
      </c>
      <c r="E186" s="8">
        <v>24.893314369999999</v>
      </c>
      <c r="F186" s="8">
        <v>0.29934562020954197</v>
      </c>
      <c r="G186" s="8">
        <v>1.3514848109460396</v>
      </c>
      <c r="H186" s="8">
        <v>0.22149388419689303</v>
      </c>
    </row>
    <row r="187" spans="1:8" x14ac:dyDescent="0.45">
      <c r="A187" s="8" t="s">
        <v>445</v>
      </c>
      <c r="B187" s="8" t="s">
        <v>446</v>
      </c>
      <c r="C187" s="8">
        <v>42</v>
      </c>
      <c r="D187" s="8" t="s">
        <v>28</v>
      </c>
      <c r="E187" s="8">
        <v>19.411881579999999</v>
      </c>
      <c r="F187" s="8">
        <v>0.35720373025004265</v>
      </c>
      <c r="G187" s="8">
        <v>1.3514848109460396</v>
      </c>
      <c r="H187" s="8">
        <v>0.26430465763059519</v>
      </c>
    </row>
    <row r="188" spans="1:8" x14ac:dyDescent="0.45">
      <c r="A188" s="8" t="s">
        <v>794</v>
      </c>
      <c r="B188" s="8" t="s">
        <v>447</v>
      </c>
      <c r="C188" s="8">
        <v>42</v>
      </c>
      <c r="D188" s="8" t="s">
        <v>28</v>
      </c>
      <c r="E188" s="8">
        <v>12.80894822</v>
      </c>
      <c r="F188" s="8">
        <v>9.17416900642192E-2</v>
      </c>
      <c r="G188" s="8">
        <v>1.3514848109460396</v>
      </c>
      <c r="H188" s="8">
        <v>6.7882146599931081E-2</v>
      </c>
    </row>
    <row r="189" spans="1:8" x14ac:dyDescent="0.45">
      <c r="A189" s="8" t="s">
        <v>448</v>
      </c>
      <c r="B189" s="8" t="s">
        <v>449</v>
      </c>
      <c r="C189" s="8">
        <v>42</v>
      </c>
      <c r="D189" s="8" t="s">
        <v>28</v>
      </c>
      <c r="E189" s="8">
        <v>17.469879519999999</v>
      </c>
      <c r="F189" s="8">
        <v>5.018471003512931E-2</v>
      </c>
      <c r="G189" s="8">
        <v>1.3514848109460396</v>
      </c>
      <c r="H189" s="8">
        <v>3.7133018165405797E-2</v>
      </c>
    </row>
    <row r="190" spans="1:8" x14ac:dyDescent="0.45">
      <c r="A190" s="8" t="s">
        <v>450</v>
      </c>
      <c r="B190" s="8" t="s">
        <v>451</v>
      </c>
      <c r="C190" s="8">
        <v>42</v>
      </c>
      <c r="D190" s="8" t="s">
        <v>28</v>
      </c>
      <c r="E190" s="8">
        <v>9.0909090900000002</v>
      </c>
      <c r="F190" s="8">
        <v>0.23722461016605728</v>
      </c>
      <c r="G190" s="8">
        <v>1.3514848109460396</v>
      </c>
      <c r="H190" s="8">
        <v>0.17552887627349656</v>
      </c>
    </row>
    <row r="191" spans="1:8" x14ac:dyDescent="0.45">
      <c r="A191" s="8" t="s">
        <v>452</v>
      </c>
      <c r="B191" s="8" t="s">
        <v>453</v>
      </c>
      <c r="C191" s="8">
        <v>43</v>
      </c>
      <c r="D191" s="8" t="s">
        <v>29</v>
      </c>
      <c r="E191" s="8">
        <v>19.666802109999999</v>
      </c>
      <c r="F191" s="8">
        <v>0.13533622009473537</v>
      </c>
      <c r="G191" s="8">
        <v>1.0208704707146095</v>
      </c>
      <c r="H191" s="8">
        <v>0.13256943361286569</v>
      </c>
    </row>
    <row r="192" spans="1:8" x14ac:dyDescent="0.45">
      <c r="A192" s="8" t="s">
        <v>454</v>
      </c>
      <c r="B192" s="8" t="s">
        <v>455</v>
      </c>
      <c r="C192" s="8">
        <v>43</v>
      </c>
      <c r="D192" s="8" t="s">
        <v>29</v>
      </c>
      <c r="E192" s="8">
        <v>15.51087403</v>
      </c>
      <c r="F192" s="8">
        <v>0.11737012008215909</v>
      </c>
      <c r="G192" s="8">
        <v>1.0208704707146095</v>
      </c>
      <c r="H192" s="8">
        <v>0.11497062893787102</v>
      </c>
    </row>
    <row r="193" spans="1:8" x14ac:dyDescent="0.45">
      <c r="A193" s="8" t="s">
        <v>456</v>
      </c>
      <c r="B193" s="8" t="s">
        <v>457</v>
      </c>
      <c r="C193" s="8">
        <v>43</v>
      </c>
      <c r="D193" s="8" t="s">
        <v>29</v>
      </c>
      <c r="E193" s="8">
        <v>16.253443529999998</v>
      </c>
      <c r="F193" s="8">
        <v>0.11884784008319349</v>
      </c>
      <c r="G193" s="8">
        <v>1.0208704707146095</v>
      </c>
      <c r="H193" s="8">
        <v>0.11641813872821689</v>
      </c>
    </row>
    <row r="194" spans="1:8" x14ac:dyDescent="0.45">
      <c r="A194" s="8" t="s">
        <v>458</v>
      </c>
      <c r="B194" s="8" t="s">
        <v>459</v>
      </c>
      <c r="C194" s="8">
        <v>43</v>
      </c>
      <c r="D194" s="8" t="s">
        <v>29</v>
      </c>
      <c r="E194" s="8">
        <v>16.058394159999999</v>
      </c>
      <c r="F194" s="8">
        <v>0.13484189009438935</v>
      </c>
      <c r="G194" s="8">
        <v>1.0208704707146095</v>
      </c>
      <c r="H194" s="8">
        <v>0.13208520959568945</v>
      </c>
    </row>
    <row r="195" spans="1:8" x14ac:dyDescent="0.45">
      <c r="A195" s="8" t="s">
        <v>460</v>
      </c>
      <c r="B195" s="8" t="s">
        <v>461</v>
      </c>
      <c r="C195" s="8">
        <v>43</v>
      </c>
      <c r="D195" s="8" t="s">
        <v>29</v>
      </c>
      <c r="E195" s="8">
        <v>9.9278744200000002</v>
      </c>
      <c r="F195" s="8">
        <v>0.51447440036013214</v>
      </c>
      <c r="G195" s="8">
        <v>1.0208704707146095</v>
      </c>
      <c r="H195" s="8">
        <v>0.5039565891253569</v>
      </c>
    </row>
    <row r="196" spans="1:8" x14ac:dyDescent="0.45">
      <c r="A196" s="8" t="s">
        <v>462</v>
      </c>
      <c r="B196" s="8" t="s">
        <v>463</v>
      </c>
      <c r="C196" s="8">
        <v>44</v>
      </c>
      <c r="D196" s="8" t="s">
        <v>30</v>
      </c>
      <c r="E196" s="8">
        <v>33.592720159999999</v>
      </c>
      <c r="F196" s="8">
        <v>1.7141651611999158</v>
      </c>
      <c r="G196" s="8">
        <v>1.8053779812637647</v>
      </c>
      <c r="H196" s="8">
        <v>0.94947716156369655</v>
      </c>
    </row>
    <row r="197" spans="1:8" x14ac:dyDescent="0.45">
      <c r="A197" s="8" t="s">
        <v>464</v>
      </c>
      <c r="B197" s="8" t="s">
        <v>465</v>
      </c>
      <c r="C197" s="8">
        <v>44</v>
      </c>
      <c r="D197" s="8" t="s">
        <v>30</v>
      </c>
      <c r="E197" s="8">
        <v>13.21986397</v>
      </c>
      <c r="F197" s="8">
        <v>9.1212820063848982E-2</v>
      </c>
      <c r="G197" s="8">
        <v>1.8053779812637647</v>
      </c>
      <c r="H197" s="8">
        <v>5.0522838436303515E-2</v>
      </c>
    </row>
    <row r="198" spans="1:8" x14ac:dyDescent="0.45">
      <c r="A198" s="8" t="s">
        <v>466</v>
      </c>
      <c r="B198" s="8" t="s">
        <v>467</v>
      </c>
      <c r="C198" s="8">
        <v>45</v>
      </c>
      <c r="D198" s="8" t="s">
        <v>31</v>
      </c>
      <c r="E198" s="8">
        <v>7.2439478599999996</v>
      </c>
      <c r="F198" s="8">
        <v>0.16728592011710017</v>
      </c>
      <c r="G198" s="8">
        <v>0.71500342050050258</v>
      </c>
      <c r="H198" s="8">
        <v>0.23396520257203801</v>
      </c>
    </row>
    <row r="199" spans="1:8" x14ac:dyDescent="0.45">
      <c r="A199" s="8" t="s">
        <v>468</v>
      </c>
      <c r="B199" s="8" t="s">
        <v>469</v>
      </c>
      <c r="C199" s="8">
        <v>45</v>
      </c>
      <c r="D199" s="8" t="s">
        <v>31</v>
      </c>
      <c r="E199" s="8">
        <v>5.64126539</v>
      </c>
      <c r="F199" s="8">
        <v>0.14914796010440359</v>
      </c>
      <c r="G199" s="8">
        <v>0.71500342050050258</v>
      </c>
      <c r="H199" s="8">
        <v>0.20859754768725439</v>
      </c>
    </row>
    <row r="200" spans="1:8" x14ac:dyDescent="0.45">
      <c r="A200" s="8" t="s">
        <v>470</v>
      </c>
      <c r="B200" s="8" t="s">
        <v>471</v>
      </c>
      <c r="C200" s="8">
        <v>45</v>
      </c>
      <c r="D200" s="8" t="s">
        <v>31</v>
      </c>
      <c r="E200" s="8">
        <v>5.8098252400000003</v>
      </c>
      <c r="F200" s="8">
        <v>0.39856954027899882</v>
      </c>
      <c r="G200" s="8">
        <v>0.71500342050050258</v>
      </c>
      <c r="H200" s="8">
        <v>0.55743724974070763</v>
      </c>
    </row>
    <row r="201" spans="1:8" x14ac:dyDescent="0.45">
      <c r="A201" s="8" t="s">
        <v>472</v>
      </c>
      <c r="B201" s="8" t="s">
        <v>473</v>
      </c>
      <c r="C201" s="8">
        <v>56</v>
      </c>
      <c r="D201" s="8" t="s">
        <v>37</v>
      </c>
      <c r="E201" s="8">
        <v>10.68579113</v>
      </c>
      <c r="F201" s="8">
        <v>0.94234750065964346</v>
      </c>
      <c r="G201" s="8">
        <v>1.2882887709018025</v>
      </c>
      <c r="H201" s="8">
        <v>0.73147226145579147</v>
      </c>
    </row>
    <row r="202" spans="1:8" x14ac:dyDescent="0.45">
      <c r="A202" s="8" t="s">
        <v>631</v>
      </c>
      <c r="B202" s="8" t="s">
        <v>474</v>
      </c>
      <c r="C202" s="8">
        <v>56</v>
      </c>
      <c r="D202" s="8" t="s">
        <v>37</v>
      </c>
      <c r="E202" s="8">
        <v>9.3810301299999992</v>
      </c>
      <c r="F202" s="8">
        <v>0.34594127024215893</v>
      </c>
      <c r="G202" s="8">
        <v>1.2882887709018025</v>
      </c>
      <c r="H202" s="8">
        <v>0.26852773854420847</v>
      </c>
    </row>
    <row r="203" spans="1:8" x14ac:dyDescent="0.45">
      <c r="A203" s="8" t="s">
        <v>475</v>
      </c>
      <c r="B203" s="8" t="s">
        <v>476</v>
      </c>
      <c r="C203" s="8">
        <v>58</v>
      </c>
      <c r="D203" s="8" t="s">
        <v>38</v>
      </c>
      <c r="E203" s="8">
        <v>38.144052379999998</v>
      </c>
      <c r="F203" s="8">
        <v>3.4116480723881542</v>
      </c>
      <c r="G203" s="8">
        <v>3.4116480723881542</v>
      </c>
      <c r="H203" s="8">
        <v>1</v>
      </c>
    </row>
    <row r="204" spans="1:8" x14ac:dyDescent="0.45">
      <c r="A204" s="8" t="s">
        <v>477</v>
      </c>
      <c r="B204" s="8" t="s">
        <v>478</v>
      </c>
      <c r="C204" s="8">
        <v>59</v>
      </c>
      <c r="D204" s="8" t="s">
        <v>39</v>
      </c>
      <c r="E204" s="8">
        <v>72.438880459999993</v>
      </c>
      <c r="F204" s="8">
        <v>1.4457033310119927</v>
      </c>
      <c r="G204" s="8">
        <v>1.4457033310119927</v>
      </c>
      <c r="H204" s="8">
        <v>1</v>
      </c>
    </row>
    <row r="205" spans="1:8" x14ac:dyDescent="0.45">
      <c r="A205" s="8" t="s">
        <v>479</v>
      </c>
      <c r="B205" s="8" t="s">
        <v>480</v>
      </c>
      <c r="C205" s="8">
        <v>62</v>
      </c>
      <c r="D205" s="8" t="s">
        <v>40</v>
      </c>
      <c r="E205" s="8">
        <v>3.3713626500000005</v>
      </c>
      <c r="F205" s="8">
        <v>2.0637256114446085</v>
      </c>
      <c r="G205" s="8">
        <v>2.8238065519766651</v>
      </c>
      <c r="H205" s="8">
        <v>0.73083108685331166</v>
      </c>
    </row>
    <row r="206" spans="1:8" x14ac:dyDescent="0.45">
      <c r="A206" s="8" t="s">
        <v>632</v>
      </c>
      <c r="B206" s="8" t="s">
        <v>483</v>
      </c>
      <c r="C206" s="8">
        <v>62</v>
      </c>
      <c r="D206" s="8" t="s">
        <v>40</v>
      </c>
      <c r="E206" s="8">
        <v>11.18122977</v>
      </c>
      <c r="F206" s="8">
        <v>0.38605576027023908</v>
      </c>
      <c r="G206" s="8">
        <v>2.8238065519766651</v>
      </c>
      <c r="H206" s="8">
        <v>0.13671466269528978</v>
      </c>
    </row>
    <row r="207" spans="1:8" x14ac:dyDescent="0.45">
      <c r="A207" s="8" t="s">
        <v>633</v>
      </c>
      <c r="B207" s="8" t="s">
        <v>484</v>
      </c>
      <c r="C207" s="8">
        <v>62</v>
      </c>
      <c r="D207" s="8" t="s">
        <v>40</v>
      </c>
      <c r="E207" s="8">
        <v>2.42085661</v>
      </c>
      <c r="F207" s="8">
        <v>0.37402518026181769</v>
      </c>
      <c r="G207" s="8">
        <v>2.8238065519766651</v>
      </c>
      <c r="H207" s="8">
        <v>0.13245425045139866</v>
      </c>
    </row>
    <row r="208" spans="1:8" x14ac:dyDescent="0.45">
      <c r="A208" s="8" t="s">
        <v>481</v>
      </c>
      <c r="B208" s="8" t="s">
        <v>482</v>
      </c>
      <c r="C208" s="8">
        <v>63</v>
      </c>
      <c r="D208" s="8" t="s">
        <v>41</v>
      </c>
      <c r="E208" s="8">
        <v>4.4795172299999999</v>
      </c>
      <c r="F208" s="8">
        <v>1.1935452308354819</v>
      </c>
      <c r="G208" s="8">
        <v>1.1935452308354819</v>
      </c>
      <c r="H208" s="8">
        <v>1</v>
      </c>
    </row>
    <row r="209" spans="1:8" x14ac:dyDescent="0.45">
      <c r="A209" s="8" t="s">
        <v>485</v>
      </c>
      <c r="B209" s="8" t="s">
        <v>486</v>
      </c>
      <c r="C209" s="8">
        <v>66</v>
      </c>
      <c r="D209" s="8" t="s">
        <v>43</v>
      </c>
      <c r="E209" s="8">
        <v>6.25926092</v>
      </c>
      <c r="F209" s="8">
        <v>1.8663964113064777</v>
      </c>
      <c r="G209" s="8">
        <v>1.8663964113064777</v>
      </c>
      <c r="H209" s="8">
        <v>1</v>
      </c>
    </row>
    <row r="210" spans="1:8" x14ac:dyDescent="0.45">
      <c r="A210" s="8" t="s">
        <v>487</v>
      </c>
      <c r="B210" s="8" t="s">
        <v>488</v>
      </c>
      <c r="C210" s="8">
        <v>67</v>
      </c>
      <c r="D210" s="8" t="s">
        <v>44</v>
      </c>
      <c r="E210" s="8">
        <v>5.7001239199999993</v>
      </c>
      <c r="F210" s="8">
        <v>7.2639520050847672E-2</v>
      </c>
      <c r="G210" s="8">
        <v>7.2639520050847672E-2</v>
      </c>
      <c r="H210" s="8">
        <v>1</v>
      </c>
    </row>
    <row r="211" spans="1:8" x14ac:dyDescent="0.45">
      <c r="A211" s="8" t="s">
        <v>495</v>
      </c>
      <c r="B211" s="8" t="s">
        <v>496</v>
      </c>
      <c r="C211" s="8">
        <v>70</v>
      </c>
      <c r="D211" s="8" t="s">
        <v>45</v>
      </c>
      <c r="E211" s="8">
        <v>11.27705991</v>
      </c>
      <c r="F211" s="8">
        <v>0.70847472049593241</v>
      </c>
      <c r="G211" s="8">
        <v>2.0612022914428421</v>
      </c>
      <c r="H211" s="8">
        <v>0.34371916014123965</v>
      </c>
    </row>
    <row r="212" spans="1:8" x14ac:dyDescent="0.45">
      <c r="A212" s="8" t="s">
        <v>497</v>
      </c>
      <c r="B212" s="8" t="s">
        <v>498</v>
      </c>
      <c r="C212" s="8">
        <v>70</v>
      </c>
      <c r="D212" s="8" t="s">
        <v>45</v>
      </c>
      <c r="E212" s="8">
        <v>16.866728219999999</v>
      </c>
      <c r="F212" s="8">
        <v>1.3527275709469095</v>
      </c>
      <c r="G212" s="8">
        <v>2.0612022914428421</v>
      </c>
      <c r="H212" s="8">
        <v>0.65628083985876029</v>
      </c>
    </row>
    <row r="213" spans="1:8" x14ac:dyDescent="0.45">
      <c r="A213" s="8" t="s">
        <v>489</v>
      </c>
      <c r="B213" s="8" t="s">
        <v>490</v>
      </c>
      <c r="C213" s="8">
        <v>71</v>
      </c>
      <c r="D213" s="8" t="s">
        <v>46</v>
      </c>
      <c r="E213" s="8">
        <v>42.38549175</v>
      </c>
      <c r="F213" s="8">
        <v>0.9371492006560046</v>
      </c>
      <c r="G213" s="8">
        <v>2.1517955415062571</v>
      </c>
      <c r="H213" s="8">
        <v>0.4355196312006484</v>
      </c>
    </row>
    <row r="214" spans="1:8" x14ac:dyDescent="0.45">
      <c r="A214" s="8" t="s">
        <v>491</v>
      </c>
      <c r="B214" s="8" t="s">
        <v>492</v>
      </c>
      <c r="C214" s="8">
        <v>71</v>
      </c>
      <c r="D214" s="8" t="s">
        <v>46</v>
      </c>
      <c r="E214" s="8">
        <v>56.383359160000005</v>
      </c>
      <c r="F214" s="8">
        <v>0.19482953013638071</v>
      </c>
      <c r="G214" s="8">
        <v>2.1517955415062571</v>
      </c>
      <c r="H214" s="8">
        <v>9.0542770620297891E-2</v>
      </c>
    </row>
    <row r="215" spans="1:8" x14ac:dyDescent="0.45">
      <c r="A215" s="8" t="s">
        <v>493</v>
      </c>
      <c r="B215" s="8" t="s">
        <v>494</v>
      </c>
      <c r="C215" s="8">
        <v>71</v>
      </c>
      <c r="D215" s="8" t="s">
        <v>46</v>
      </c>
      <c r="E215" s="8">
        <v>14.42757009</v>
      </c>
      <c r="F215" s="8">
        <v>0.163718520114603</v>
      </c>
      <c r="G215" s="8">
        <v>2.1517955415062571</v>
      </c>
      <c r="H215" s="8">
        <v>7.6084607927015227E-2</v>
      </c>
    </row>
    <row r="216" spans="1:8" x14ac:dyDescent="0.45">
      <c r="A216" s="8" t="s">
        <v>499</v>
      </c>
      <c r="B216" s="8" t="s">
        <v>500</v>
      </c>
      <c r="C216" s="8">
        <v>71</v>
      </c>
      <c r="D216" s="8" t="s">
        <v>46</v>
      </c>
      <c r="E216" s="8">
        <v>2.5610397100000002</v>
      </c>
      <c r="F216" s="8">
        <v>0.29046827020332783</v>
      </c>
      <c r="G216" s="8">
        <v>2.1517955415062571</v>
      </c>
      <c r="H216" s="8">
        <v>0.13498878708522652</v>
      </c>
    </row>
    <row r="217" spans="1:8" x14ac:dyDescent="0.45">
      <c r="A217" s="8" t="s">
        <v>501</v>
      </c>
      <c r="B217" s="8" t="s">
        <v>502</v>
      </c>
      <c r="C217" s="8">
        <v>71</v>
      </c>
      <c r="D217" s="8" t="s">
        <v>46</v>
      </c>
      <c r="E217" s="8">
        <v>1.9089574200000001</v>
      </c>
      <c r="F217" s="8">
        <v>0.29472970020631084</v>
      </c>
      <c r="G217" s="8">
        <v>2.1517955415062571</v>
      </c>
      <c r="H217" s="8">
        <v>0.13696919364374183</v>
      </c>
    </row>
    <row r="218" spans="1:8" x14ac:dyDescent="0.45">
      <c r="A218" s="8" t="s">
        <v>503</v>
      </c>
      <c r="B218" s="8" t="s">
        <v>504</v>
      </c>
      <c r="C218" s="8">
        <v>71</v>
      </c>
      <c r="D218" s="8" t="s">
        <v>46</v>
      </c>
      <c r="E218" s="8">
        <v>2.89213312</v>
      </c>
      <c r="F218" s="8">
        <v>0.22568690015798087</v>
      </c>
      <c r="G218" s="8">
        <v>2.1517955415062571</v>
      </c>
      <c r="H218" s="8">
        <v>0.10488305966095646</v>
      </c>
    </row>
    <row r="219" spans="1:8" x14ac:dyDescent="0.45">
      <c r="A219" s="8" t="s">
        <v>505</v>
      </c>
      <c r="B219" s="8" t="s">
        <v>506</v>
      </c>
      <c r="C219" s="8">
        <v>71</v>
      </c>
      <c r="D219" s="8" t="s">
        <v>46</v>
      </c>
      <c r="E219" s="8">
        <v>7.5574365199999995</v>
      </c>
      <c r="F219" s="8">
        <v>4.5213420031649403E-2</v>
      </c>
      <c r="G219" s="8">
        <v>2.1517955415062571</v>
      </c>
      <c r="H219" s="8">
        <v>2.1011949862113761E-2</v>
      </c>
    </row>
    <row r="220" spans="1:8" x14ac:dyDescent="0.45">
      <c r="A220" s="8" t="s">
        <v>509</v>
      </c>
      <c r="B220" s="8" t="s">
        <v>510</v>
      </c>
      <c r="C220" s="8">
        <v>73</v>
      </c>
      <c r="D220" s="8" t="s">
        <v>47</v>
      </c>
      <c r="E220" s="8">
        <v>27.934392619999997</v>
      </c>
      <c r="F220" s="8">
        <v>5.4193230037935261E-2</v>
      </c>
      <c r="G220" s="8">
        <v>0.58488213040941761</v>
      </c>
      <c r="H220" s="8">
        <v>9.2656669130923852E-2</v>
      </c>
    </row>
    <row r="221" spans="1:8" x14ac:dyDescent="0.45">
      <c r="A221" s="8" t="s">
        <v>511</v>
      </c>
      <c r="B221" s="8" t="s">
        <v>512</v>
      </c>
      <c r="C221" s="8">
        <v>73</v>
      </c>
      <c r="D221" s="8" t="s">
        <v>47</v>
      </c>
      <c r="E221" s="8">
        <v>24.147627419999999</v>
      </c>
      <c r="F221" s="8">
        <v>9.6079060067255362E-2</v>
      </c>
      <c r="G221" s="8">
        <v>0.58488213040941761</v>
      </c>
      <c r="H221" s="8">
        <v>0.16427080786345788</v>
      </c>
    </row>
    <row r="222" spans="1:8" x14ac:dyDescent="0.45">
      <c r="A222" s="8" t="s">
        <v>515</v>
      </c>
      <c r="B222" s="8" t="s">
        <v>516</v>
      </c>
      <c r="C222" s="8">
        <v>73</v>
      </c>
      <c r="D222" s="8" t="s">
        <v>47</v>
      </c>
      <c r="E222" s="8">
        <v>2.3168908799999999</v>
      </c>
      <c r="F222" s="8">
        <v>0.33194568023236204</v>
      </c>
      <c r="G222" s="8">
        <v>0.58488213040941761</v>
      </c>
      <c r="H222" s="8">
        <v>0.56754286543170673</v>
      </c>
    </row>
    <row r="223" spans="1:8" x14ac:dyDescent="0.45">
      <c r="A223" s="8" t="s">
        <v>517</v>
      </c>
      <c r="B223" s="8" t="s">
        <v>518</v>
      </c>
      <c r="C223" s="8">
        <v>73</v>
      </c>
      <c r="D223" s="8" t="s">
        <v>47</v>
      </c>
      <c r="E223" s="8">
        <v>4.4138585700000004</v>
      </c>
      <c r="F223" s="8">
        <v>0.10266416007186493</v>
      </c>
      <c r="G223" s="8">
        <v>0.58488213040941761</v>
      </c>
      <c r="H223" s="8">
        <v>0.17552965757391151</v>
      </c>
    </row>
    <row r="224" spans="1:8" x14ac:dyDescent="0.45">
      <c r="A224" s="8" t="s">
        <v>507</v>
      </c>
      <c r="B224" s="8" t="s">
        <v>508</v>
      </c>
      <c r="C224" s="8">
        <v>74</v>
      </c>
      <c r="D224" s="8" t="s">
        <v>48</v>
      </c>
      <c r="E224" s="8">
        <v>59.837914609999999</v>
      </c>
      <c r="F224" s="8">
        <v>1.3251602409276122</v>
      </c>
      <c r="G224" s="8">
        <v>1.3251602409276122</v>
      </c>
      <c r="H224" s="8">
        <v>1</v>
      </c>
    </row>
    <row r="225" spans="1:8" x14ac:dyDescent="0.45">
      <c r="A225" s="8" t="s">
        <v>513</v>
      </c>
      <c r="B225" s="8" t="s">
        <v>514</v>
      </c>
      <c r="C225" s="8">
        <v>75</v>
      </c>
      <c r="D225" s="8" t="s">
        <v>49</v>
      </c>
      <c r="E225" s="8">
        <v>29.81427175</v>
      </c>
      <c r="F225" s="8">
        <v>9.0970310063679241E-2</v>
      </c>
      <c r="G225" s="8">
        <v>9.0970310063679241E-2</v>
      </c>
      <c r="H225" s="8">
        <v>1</v>
      </c>
    </row>
    <row r="226" spans="1:8" x14ac:dyDescent="0.45">
      <c r="A226" s="8" t="s">
        <v>519</v>
      </c>
      <c r="B226" s="8" t="s">
        <v>520</v>
      </c>
      <c r="C226" s="8">
        <v>77</v>
      </c>
      <c r="D226" s="8" t="s">
        <v>50</v>
      </c>
      <c r="E226" s="8">
        <v>12.561983469999999</v>
      </c>
      <c r="F226" s="8">
        <v>0.92110587064477434</v>
      </c>
      <c r="G226" s="8">
        <v>2.3294862216306411</v>
      </c>
      <c r="H226" s="8">
        <v>0.3954115985283656</v>
      </c>
    </row>
    <row r="227" spans="1:8" x14ac:dyDescent="0.45">
      <c r="A227" s="8" t="s">
        <v>521</v>
      </c>
      <c r="B227" s="8" t="s">
        <v>522</v>
      </c>
      <c r="C227" s="8">
        <v>77</v>
      </c>
      <c r="D227" s="8" t="s">
        <v>50</v>
      </c>
      <c r="E227" s="8">
        <v>9.0829694300000003</v>
      </c>
      <c r="F227" s="8">
        <v>0.7841737705489219</v>
      </c>
      <c r="G227" s="8">
        <v>2.3294862216306411</v>
      </c>
      <c r="H227" s="8">
        <v>0.33662949506522516</v>
      </c>
    </row>
    <row r="228" spans="1:8" x14ac:dyDescent="0.45">
      <c r="A228" s="8" t="s">
        <v>523</v>
      </c>
      <c r="B228" s="8" t="s">
        <v>524</v>
      </c>
      <c r="C228" s="8">
        <v>77</v>
      </c>
      <c r="D228" s="8" t="s">
        <v>50</v>
      </c>
      <c r="E228" s="8">
        <v>6.6390041499999999</v>
      </c>
      <c r="F228" s="8">
        <v>0.3123117002186182</v>
      </c>
      <c r="G228" s="8">
        <v>2.3294862216306411</v>
      </c>
      <c r="H228" s="8">
        <v>0.13406891928298245</v>
      </c>
    </row>
    <row r="229" spans="1:8" x14ac:dyDescent="0.45">
      <c r="A229" s="8" t="s">
        <v>525</v>
      </c>
      <c r="B229" s="8" t="s">
        <v>526</v>
      </c>
      <c r="C229" s="8">
        <v>77</v>
      </c>
      <c r="D229" s="8" t="s">
        <v>50</v>
      </c>
      <c r="E229" s="8">
        <v>3.5904727999999997</v>
      </c>
      <c r="F229" s="8">
        <v>0.31189488021832651</v>
      </c>
      <c r="G229" s="8">
        <v>2.3294862216306411</v>
      </c>
      <c r="H229" s="8">
        <v>0.13388998712342673</v>
      </c>
    </row>
    <row r="230" spans="1:8" x14ac:dyDescent="0.45">
      <c r="A230" s="8" t="s">
        <v>527</v>
      </c>
      <c r="B230" s="8" t="s">
        <v>528</v>
      </c>
      <c r="C230" s="8">
        <v>78</v>
      </c>
      <c r="D230" s="8" t="s">
        <v>51</v>
      </c>
      <c r="E230" s="8">
        <v>2.23681011</v>
      </c>
      <c r="F230" s="8">
        <v>2.531274001771892E-2</v>
      </c>
      <c r="G230" s="8">
        <v>1.6177391111324178</v>
      </c>
      <c r="H230" s="8">
        <v>1.5646985254624893E-2</v>
      </c>
    </row>
    <row r="231" spans="1:8" x14ac:dyDescent="0.45">
      <c r="A231" s="8" t="s">
        <v>529</v>
      </c>
      <c r="B231" s="8" t="s">
        <v>530</v>
      </c>
      <c r="C231" s="8">
        <v>78</v>
      </c>
      <c r="D231" s="8" t="s">
        <v>51</v>
      </c>
      <c r="E231" s="8">
        <v>12.826977619999999</v>
      </c>
      <c r="F231" s="8">
        <v>1.2587166808811021</v>
      </c>
      <c r="G231" s="8">
        <v>1.6177391111324178</v>
      </c>
      <c r="H231" s="8">
        <v>0.77807149015517107</v>
      </c>
    </row>
    <row r="232" spans="1:8" x14ac:dyDescent="0.45">
      <c r="A232" s="8" t="s">
        <v>531</v>
      </c>
      <c r="B232" s="8" t="s">
        <v>532</v>
      </c>
      <c r="C232" s="8">
        <v>78</v>
      </c>
      <c r="D232" s="8" t="s">
        <v>51</v>
      </c>
      <c r="E232" s="8">
        <v>9.9897541000000007</v>
      </c>
      <c r="F232" s="8">
        <v>0.1259588100881712</v>
      </c>
      <c r="G232" s="8">
        <v>1.6177391111324178</v>
      </c>
      <c r="H232" s="8">
        <v>7.7861015550276219E-2</v>
      </c>
    </row>
    <row r="233" spans="1:8" x14ac:dyDescent="0.45">
      <c r="A233" s="8" t="s">
        <v>533</v>
      </c>
      <c r="B233" s="8" t="s">
        <v>534</v>
      </c>
      <c r="C233" s="8">
        <v>78</v>
      </c>
      <c r="D233" s="8" t="s">
        <v>51</v>
      </c>
      <c r="E233" s="8">
        <v>9.4661921699999994</v>
      </c>
      <c r="F233" s="8">
        <v>8.7807120061465002E-2</v>
      </c>
      <c r="G233" s="8">
        <v>1.6177391111324178</v>
      </c>
      <c r="H233" s="8">
        <v>5.4277676454270798E-2</v>
      </c>
    </row>
    <row r="234" spans="1:8" x14ac:dyDescent="0.45">
      <c r="A234" s="8" t="s">
        <v>535</v>
      </c>
      <c r="B234" s="8" t="s">
        <v>536</v>
      </c>
      <c r="C234" s="8">
        <v>78</v>
      </c>
      <c r="D234" s="8" t="s">
        <v>51</v>
      </c>
      <c r="E234" s="8">
        <v>10.676598390000001</v>
      </c>
      <c r="F234" s="8">
        <v>0.11994376008396065</v>
      </c>
      <c r="G234" s="8">
        <v>1.6177391111324178</v>
      </c>
      <c r="H234" s="8">
        <v>7.4142832585657154E-2</v>
      </c>
    </row>
    <row r="235" spans="1:8" x14ac:dyDescent="0.45">
      <c r="A235" s="8" t="s">
        <v>537</v>
      </c>
      <c r="B235" s="8" t="s">
        <v>538</v>
      </c>
      <c r="C235" s="8">
        <v>80</v>
      </c>
      <c r="D235" s="8" t="s">
        <v>53</v>
      </c>
      <c r="E235" s="8">
        <v>7.0907195000000005</v>
      </c>
      <c r="F235" s="8">
        <v>0.22369312015658518</v>
      </c>
      <c r="G235" s="8">
        <v>0.5667034403966924</v>
      </c>
      <c r="H235" s="8">
        <v>0.39472694924879936</v>
      </c>
    </row>
    <row r="236" spans="1:8" x14ac:dyDescent="0.45">
      <c r="A236" s="8" t="s">
        <v>539</v>
      </c>
      <c r="B236" s="8" t="s">
        <v>540</v>
      </c>
      <c r="C236" s="8">
        <v>80</v>
      </c>
      <c r="D236" s="8" t="s">
        <v>53</v>
      </c>
      <c r="E236" s="8">
        <v>5.7571965000000001</v>
      </c>
      <c r="F236" s="8">
        <v>0.15834307011084017</v>
      </c>
      <c r="G236" s="8">
        <v>0.5667034403966924</v>
      </c>
      <c r="H236" s="8">
        <v>0.27941081494052694</v>
      </c>
    </row>
    <row r="237" spans="1:8" x14ac:dyDescent="0.45">
      <c r="A237" s="8" t="s">
        <v>541</v>
      </c>
      <c r="B237" s="8" t="s">
        <v>542</v>
      </c>
      <c r="C237" s="8">
        <v>80</v>
      </c>
      <c r="D237" s="8" t="s">
        <v>53</v>
      </c>
      <c r="E237" s="8">
        <v>8.7162162199999997</v>
      </c>
      <c r="F237" s="8">
        <v>0.1846672501292671</v>
      </c>
      <c r="G237" s="8">
        <v>0.5667034403966924</v>
      </c>
      <c r="H237" s="8">
        <v>0.32586223581067381</v>
      </c>
    </row>
    <row r="238" spans="1:8" x14ac:dyDescent="0.45">
      <c r="A238" s="8" t="s">
        <v>543</v>
      </c>
      <c r="B238" s="8" t="s">
        <v>544</v>
      </c>
      <c r="C238" s="8">
        <v>83</v>
      </c>
      <c r="D238" s="8" t="s">
        <v>54</v>
      </c>
      <c r="E238" s="8">
        <v>5.08010407</v>
      </c>
      <c r="F238" s="8">
        <v>4.1468962429028284</v>
      </c>
      <c r="G238" s="8">
        <v>10.954563867668197</v>
      </c>
      <c r="H238" s="8">
        <v>0.37855420745157808</v>
      </c>
    </row>
    <row r="239" spans="1:8" x14ac:dyDescent="0.45">
      <c r="A239" s="8" t="s">
        <v>545</v>
      </c>
      <c r="B239" s="8" t="s">
        <v>546</v>
      </c>
      <c r="C239" s="8">
        <v>83</v>
      </c>
      <c r="D239" s="8" t="s">
        <v>54</v>
      </c>
      <c r="E239" s="8">
        <v>7.0016906700000003</v>
      </c>
      <c r="F239" s="8">
        <v>2.304466601613127</v>
      </c>
      <c r="G239" s="8">
        <v>10.954563867668197</v>
      </c>
      <c r="H239" s="8">
        <v>0.21036589219353913</v>
      </c>
    </row>
    <row r="240" spans="1:8" x14ac:dyDescent="0.45">
      <c r="A240" s="8" t="s">
        <v>549</v>
      </c>
      <c r="B240" s="8" t="s">
        <v>550</v>
      </c>
      <c r="C240" s="8">
        <v>83</v>
      </c>
      <c r="D240" s="8" t="s">
        <v>54</v>
      </c>
      <c r="E240" s="8">
        <v>1.72271386</v>
      </c>
      <c r="F240" s="8">
        <v>0.29867140020907007</v>
      </c>
      <c r="G240" s="8">
        <v>10.954563867668197</v>
      </c>
      <c r="H240" s="8">
        <v>2.7264563319639092E-2</v>
      </c>
    </row>
    <row r="241" spans="1:8" x14ac:dyDescent="0.45">
      <c r="A241" s="8" t="s">
        <v>551</v>
      </c>
      <c r="B241" s="8" t="s">
        <v>552</v>
      </c>
      <c r="C241" s="8">
        <v>83</v>
      </c>
      <c r="D241" s="8" t="s">
        <v>54</v>
      </c>
      <c r="E241" s="8">
        <v>5.2264071099999994</v>
      </c>
      <c r="F241" s="8">
        <v>0.49622631034735853</v>
      </c>
      <c r="G241" s="8">
        <v>10.954563867668197</v>
      </c>
      <c r="H241" s="8">
        <v>4.5298591193752923E-2</v>
      </c>
    </row>
    <row r="242" spans="1:8" x14ac:dyDescent="0.45">
      <c r="A242" s="8" t="s">
        <v>553</v>
      </c>
      <c r="B242" s="8" t="s">
        <v>554</v>
      </c>
      <c r="C242" s="8">
        <v>83</v>
      </c>
      <c r="D242" s="8" t="s">
        <v>54</v>
      </c>
      <c r="E242" s="8">
        <v>4.6647230300000002</v>
      </c>
      <c r="F242" s="8">
        <v>0.33103261023172292</v>
      </c>
      <c r="G242" s="8">
        <v>10.954563867668197</v>
      </c>
      <c r="H242" s="8">
        <v>3.021869370890682E-2</v>
      </c>
    </row>
    <row r="243" spans="1:8" x14ac:dyDescent="0.45">
      <c r="A243" s="8" t="s">
        <v>555</v>
      </c>
      <c r="B243" s="8" t="s">
        <v>556</v>
      </c>
      <c r="C243" s="8">
        <v>83</v>
      </c>
      <c r="D243" s="8" t="s">
        <v>54</v>
      </c>
      <c r="E243" s="8">
        <v>42.752625370000004</v>
      </c>
      <c r="F243" s="8">
        <v>3.3772707023640902</v>
      </c>
      <c r="G243" s="8">
        <v>10.954563867668197</v>
      </c>
      <c r="H243" s="8">
        <v>0.30829805213258393</v>
      </c>
    </row>
    <row r="244" spans="1:8" x14ac:dyDescent="0.45">
      <c r="A244" s="8" t="s">
        <v>547</v>
      </c>
      <c r="B244" s="8" t="s">
        <v>548</v>
      </c>
      <c r="C244" s="8">
        <v>84</v>
      </c>
      <c r="D244" s="8" t="s">
        <v>55</v>
      </c>
      <c r="E244" s="8">
        <v>2.9448752900000001</v>
      </c>
      <c r="F244" s="8">
        <v>0.91387932063971578</v>
      </c>
      <c r="G244" s="8">
        <v>0.91387932063971578</v>
      </c>
      <c r="H244" s="8">
        <v>1</v>
      </c>
    </row>
    <row r="245" spans="1:8" x14ac:dyDescent="0.45">
      <c r="A245" s="8" t="s">
        <v>557</v>
      </c>
      <c r="B245" s="8" t="s">
        <v>558</v>
      </c>
      <c r="C245" s="8">
        <v>85</v>
      </c>
      <c r="D245" s="8" t="s">
        <v>56</v>
      </c>
      <c r="E245" s="8">
        <v>5.4622789300000001</v>
      </c>
      <c r="F245" s="8">
        <v>0.24486929017140854</v>
      </c>
      <c r="G245" s="8">
        <v>0.24486929017140854</v>
      </c>
      <c r="H245" s="8">
        <v>1</v>
      </c>
    </row>
    <row r="246" spans="1:8" x14ac:dyDescent="0.45">
      <c r="A246" s="8" t="s">
        <v>630</v>
      </c>
      <c r="B246" s="8" t="s">
        <v>559</v>
      </c>
      <c r="C246" s="8">
        <v>89</v>
      </c>
      <c r="D246" s="8" t="s">
        <v>58</v>
      </c>
      <c r="E246" s="8">
        <v>3.4518828500000001</v>
      </c>
      <c r="F246" s="8">
        <v>0.19697369013788163</v>
      </c>
      <c r="G246" s="8">
        <v>0.19697369013788163</v>
      </c>
      <c r="H246" s="8">
        <v>1</v>
      </c>
    </row>
    <row r="247" spans="1:8" x14ac:dyDescent="0.45">
      <c r="A247" s="8" t="s">
        <v>629</v>
      </c>
      <c r="B247" s="8" t="s">
        <v>560</v>
      </c>
      <c r="C247" s="8">
        <v>92</v>
      </c>
      <c r="D247" s="8" t="s">
        <v>60</v>
      </c>
      <c r="E247" s="8">
        <v>7.9016221900000003</v>
      </c>
      <c r="F247" s="8">
        <v>0.5104133903572895</v>
      </c>
      <c r="G247" s="8">
        <v>0.5104133903572895</v>
      </c>
      <c r="H247" s="8">
        <v>1</v>
      </c>
    </row>
    <row r="248" spans="1:8" x14ac:dyDescent="0.45">
      <c r="A248" s="8" t="s">
        <v>561</v>
      </c>
      <c r="B248" s="8" t="s">
        <v>562</v>
      </c>
      <c r="C248" s="8">
        <v>94</v>
      </c>
      <c r="D248" s="8" t="s">
        <v>62</v>
      </c>
      <c r="E248" s="8">
        <v>8.1566446500000005</v>
      </c>
      <c r="F248" s="8">
        <v>3.3705127923593592</v>
      </c>
      <c r="G248" s="8">
        <v>3.3705127923593592</v>
      </c>
      <c r="H248" s="8">
        <v>1</v>
      </c>
    </row>
    <row r="249" spans="1:8" x14ac:dyDescent="0.45">
      <c r="A249" s="8" t="s">
        <v>568</v>
      </c>
      <c r="B249" s="8" t="s">
        <v>569</v>
      </c>
      <c r="C249" s="8">
        <v>97</v>
      </c>
      <c r="D249" s="8" t="s">
        <v>63</v>
      </c>
      <c r="E249" s="8">
        <v>41.897373010000003</v>
      </c>
      <c r="F249" s="8">
        <v>1.5038633310527045</v>
      </c>
      <c r="G249" s="8">
        <v>1.5715123811000589</v>
      </c>
      <c r="H249" s="8">
        <v>0.95695290036467928</v>
      </c>
    </row>
    <row r="250" spans="1:8" x14ac:dyDescent="0.45">
      <c r="A250" s="8" t="s">
        <v>570</v>
      </c>
      <c r="B250" s="8" t="s">
        <v>571</v>
      </c>
      <c r="C250" s="8">
        <v>97</v>
      </c>
      <c r="D250" s="8" t="s">
        <v>63</v>
      </c>
      <c r="E250" s="8">
        <v>13.002136750000002</v>
      </c>
      <c r="F250" s="8">
        <v>6.7649050047354359E-2</v>
      </c>
      <c r="G250" s="8">
        <v>1.5715123811000589</v>
      </c>
      <c r="H250" s="8">
        <v>4.3047099635320732E-2</v>
      </c>
    </row>
    <row r="251" spans="1:8" x14ac:dyDescent="0.45">
      <c r="A251" s="8" t="s">
        <v>563</v>
      </c>
      <c r="B251" s="8" t="s">
        <v>564</v>
      </c>
      <c r="C251" s="8">
        <v>98</v>
      </c>
      <c r="D251" s="8" t="s">
        <v>64</v>
      </c>
      <c r="E251" s="8">
        <v>3.5381192800000001</v>
      </c>
      <c r="F251" s="8">
        <v>0.27517993019262599</v>
      </c>
      <c r="G251" s="8">
        <v>1.782184031247529</v>
      </c>
      <c r="H251" s="8">
        <v>0.15440601271687976</v>
      </c>
    </row>
    <row r="252" spans="1:8" x14ac:dyDescent="0.45">
      <c r="A252" s="8" t="s">
        <v>565</v>
      </c>
      <c r="B252" s="8" t="s">
        <v>566</v>
      </c>
      <c r="C252" s="8">
        <v>98</v>
      </c>
      <c r="D252" s="8" t="s">
        <v>64</v>
      </c>
      <c r="E252" s="8">
        <v>29.358215749999999</v>
      </c>
      <c r="F252" s="8">
        <v>6.2120300043484221E-3</v>
      </c>
      <c r="G252" s="8">
        <v>1.782184031247529</v>
      </c>
      <c r="H252" s="8">
        <v>3.4856276879554355E-3</v>
      </c>
    </row>
    <row r="253" spans="1:8" x14ac:dyDescent="0.45">
      <c r="A253" s="8" t="s">
        <v>628</v>
      </c>
      <c r="B253" s="8" t="s">
        <v>567</v>
      </c>
      <c r="C253" s="8">
        <v>98</v>
      </c>
      <c r="D253" s="8" t="s">
        <v>64</v>
      </c>
      <c r="E253" s="8">
        <v>28.389877330000001</v>
      </c>
      <c r="F253" s="8">
        <v>1.5007920710505547</v>
      </c>
      <c r="G253" s="8">
        <v>1.782184031247529</v>
      </c>
      <c r="H253" s="8">
        <v>0.84210835959516483</v>
      </c>
    </row>
    <row r="254" spans="1:8" x14ac:dyDescent="0.45">
      <c r="A254" s="8" t="s">
        <v>572</v>
      </c>
      <c r="B254" s="8" t="s">
        <v>573</v>
      </c>
      <c r="C254" s="8">
        <v>101</v>
      </c>
      <c r="D254" s="8" t="s">
        <v>66</v>
      </c>
      <c r="E254" s="8">
        <v>5.7692307700000001</v>
      </c>
      <c r="F254" s="8">
        <v>1.584062431108844</v>
      </c>
      <c r="G254" s="8">
        <v>2.0661179714462827</v>
      </c>
      <c r="H254" s="8">
        <v>0.76668537469813514</v>
      </c>
    </row>
    <row r="255" spans="1:8" x14ac:dyDescent="0.45">
      <c r="A255" s="8" t="s">
        <v>574</v>
      </c>
      <c r="B255" s="8" t="s">
        <v>575</v>
      </c>
      <c r="C255" s="8">
        <v>101</v>
      </c>
      <c r="D255" s="8" t="s">
        <v>66</v>
      </c>
      <c r="E255" s="8">
        <v>6.2311557799999999</v>
      </c>
      <c r="F255" s="8">
        <v>0.48205554033743891</v>
      </c>
      <c r="G255" s="8">
        <v>2.0661179714462827</v>
      </c>
      <c r="H255" s="8">
        <v>0.23331462530186503</v>
      </c>
    </row>
    <row r="256" spans="1:8" x14ac:dyDescent="0.45">
      <c r="A256" s="8" t="s">
        <v>576</v>
      </c>
      <c r="B256" s="8" t="s">
        <v>577</v>
      </c>
      <c r="C256" s="8">
        <v>102</v>
      </c>
      <c r="D256" s="8" t="s">
        <v>67</v>
      </c>
      <c r="E256" s="8">
        <v>6.9099003199999993</v>
      </c>
      <c r="F256" s="8">
        <v>1.276789630893753</v>
      </c>
      <c r="G256" s="8">
        <v>1.276789630893753</v>
      </c>
      <c r="H256" s="8">
        <v>1</v>
      </c>
    </row>
    <row r="257" spans="1:8" x14ac:dyDescent="0.45">
      <c r="A257" s="8" t="s">
        <v>578</v>
      </c>
      <c r="B257" s="8" t="s">
        <v>579</v>
      </c>
      <c r="C257" s="8">
        <v>103</v>
      </c>
      <c r="D257" s="8" t="s">
        <v>68</v>
      </c>
      <c r="E257" s="8">
        <v>9.1593567299999989</v>
      </c>
      <c r="F257" s="8">
        <v>7.4275520051992866E-2</v>
      </c>
      <c r="G257" s="8">
        <v>7.4275520051992866E-2</v>
      </c>
      <c r="H257" s="8">
        <v>1</v>
      </c>
    </row>
    <row r="258" spans="1:8" x14ac:dyDescent="0.45">
      <c r="A258" s="8" t="s">
        <v>580</v>
      </c>
      <c r="B258" s="8" t="s">
        <v>581</v>
      </c>
      <c r="C258" s="8">
        <v>104</v>
      </c>
      <c r="D258" s="8" t="s">
        <v>69</v>
      </c>
      <c r="E258" s="8">
        <v>1.5714717400000002</v>
      </c>
      <c r="F258" s="8">
        <v>0.48191698033734198</v>
      </c>
      <c r="G258" s="8">
        <v>1.2218306708552817</v>
      </c>
      <c r="H258" s="8">
        <v>0.39442206832146387</v>
      </c>
    </row>
    <row r="259" spans="1:8" x14ac:dyDescent="0.45">
      <c r="A259" s="8" t="s">
        <v>582</v>
      </c>
      <c r="B259" s="8" t="s">
        <v>583</v>
      </c>
      <c r="C259" s="8">
        <v>104</v>
      </c>
      <c r="D259" s="8" t="s">
        <v>69</v>
      </c>
      <c r="E259" s="8">
        <v>8.8809458299999999</v>
      </c>
      <c r="F259" s="8">
        <v>0.49182993034428102</v>
      </c>
      <c r="G259" s="8">
        <v>1.2218306708552817</v>
      </c>
      <c r="H259" s="8">
        <v>0.40253526292640857</v>
      </c>
    </row>
    <row r="260" spans="1:8" x14ac:dyDescent="0.45">
      <c r="A260" s="8" t="s">
        <v>584</v>
      </c>
      <c r="B260" s="8" t="s">
        <v>585</v>
      </c>
      <c r="C260" s="8">
        <v>104</v>
      </c>
      <c r="D260" s="8" t="s">
        <v>69</v>
      </c>
      <c r="E260" s="8">
        <v>5.4559625899999995</v>
      </c>
      <c r="F260" s="8">
        <v>0.24808376017365863</v>
      </c>
      <c r="G260" s="8">
        <v>1.2218306708552817</v>
      </c>
      <c r="H260" s="8">
        <v>0.20304266875212745</v>
      </c>
    </row>
    <row r="261" spans="1:8" x14ac:dyDescent="0.45">
      <c r="A261" s="8" t="s">
        <v>586</v>
      </c>
      <c r="B261" s="8" t="s">
        <v>587</v>
      </c>
      <c r="C261" s="8">
        <v>105</v>
      </c>
      <c r="D261" s="8" t="s">
        <v>70</v>
      </c>
      <c r="E261" s="8">
        <v>3.1398104299999998</v>
      </c>
      <c r="F261" s="8">
        <v>1.364235230954965</v>
      </c>
      <c r="G261" s="8">
        <v>1.7515276812260696</v>
      </c>
      <c r="H261" s="8">
        <v>0.77888305481989306</v>
      </c>
    </row>
    <row r="262" spans="1:8" x14ac:dyDescent="0.45">
      <c r="A262" s="8" t="s">
        <v>588</v>
      </c>
      <c r="B262" s="8" t="s">
        <v>589</v>
      </c>
      <c r="C262" s="8">
        <v>105</v>
      </c>
      <c r="D262" s="8" t="s">
        <v>70</v>
      </c>
      <c r="E262" s="8">
        <v>3.3111916300000002</v>
      </c>
      <c r="F262" s="8">
        <v>0.29771095020839772</v>
      </c>
      <c r="G262" s="8">
        <v>1.7515276812260696</v>
      </c>
      <c r="H262" s="8">
        <v>0.16997216395689504</v>
      </c>
    </row>
    <row r="263" spans="1:8" x14ac:dyDescent="0.45">
      <c r="A263" s="8" t="s">
        <v>590</v>
      </c>
      <c r="B263" s="8" t="s">
        <v>591</v>
      </c>
      <c r="C263" s="8">
        <v>105</v>
      </c>
      <c r="D263" s="8" t="s">
        <v>70</v>
      </c>
      <c r="E263" s="8">
        <v>3.7735849100000003</v>
      </c>
      <c r="F263" s="8">
        <v>2.8785930020150157E-2</v>
      </c>
      <c r="G263" s="8">
        <v>1.7515276812260696</v>
      </c>
      <c r="H263" s="8">
        <v>1.6434755972569045E-2</v>
      </c>
    </row>
    <row r="264" spans="1:8" x14ac:dyDescent="0.45">
      <c r="A264" s="8" t="s">
        <v>592</v>
      </c>
      <c r="B264" s="8" t="s">
        <v>593</v>
      </c>
      <c r="C264" s="8">
        <v>105</v>
      </c>
      <c r="D264" s="8" t="s">
        <v>70</v>
      </c>
      <c r="E264" s="8">
        <v>4.0404040400000003</v>
      </c>
      <c r="F264" s="8">
        <v>4.0075740028053024E-2</v>
      </c>
      <c r="G264" s="8">
        <v>1.7515276812260696</v>
      </c>
      <c r="H264" s="8">
        <v>2.2880449140261376E-2</v>
      </c>
    </row>
    <row r="265" spans="1:8" x14ac:dyDescent="0.45">
      <c r="A265" s="8" t="s">
        <v>594</v>
      </c>
      <c r="B265" s="8" t="s">
        <v>595</v>
      </c>
      <c r="C265" s="8">
        <v>105</v>
      </c>
      <c r="D265" s="8" t="s">
        <v>70</v>
      </c>
      <c r="E265" s="8">
        <v>5.3506869100000003</v>
      </c>
      <c r="F265" s="8">
        <v>2.0719830014503886E-2</v>
      </c>
      <c r="G265" s="8">
        <v>1.7515276812260696</v>
      </c>
      <c r="H265" s="8">
        <v>1.182957611038154E-2</v>
      </c>
    </row>
    <row r="266" spans="1:8" x14ac:dyDescent="0.45">
      <c r="A266" s="8" t="s">
        <v>596</v>
      </c>
      <c r="B266" s="8" t="s">
        <v>597</v>
      </c>
      <c r="C266" s="8">
        <v>106</v>
      </c>
      <c r="D266" s="8" t="s">
        <v>71</v>
      </c>
      <c r="E266" s="8">
        <v>2.7600849300000001</v>
      </c>
      <c r="F266" s="8">
        <v>0.15070505010549357</v>
      </c>
      <c r="G266" s="8">
        <v>0.15070505010549357</v>
      </c>
      <c r="H266" s="8">
        <v>1</v>
      </c>
    </row>
    <row r="267" spans="1:8" x14ac:dyDescent="0.45">
      <c r="A267" s="8" t="s">
        <v>598</v>
      </c>
      <c r="B267" s="8" t="s">
        <v>599</v>
      </c>
      <c r="C267" s="8">
        <v>107</v>
      </c>
      <c r="D267" s="8" t="s">
        <v>72</v>
      </c>
      <c r="E267" s="8">
        <v>4.3071161</v>
      </c>
      <c r="F267" s="8">
        <v>0.45042270031529602</v>
      </c>
      <c r="G267" s="8">
        <v>1.1223331307856335</v>
      </c>
      <c r="H267" s="8">
        <v>0.40132709973553043</v>
      </c>
    </row>
    <row r="268" spans="1:8" x14ac:dyDescent="0.45">
      <c r="A268" s="8" t="s">
        <v>600</v>
      </c>
      <c r="B268" s="8" t="s">
        <v>601</v>
      </c>
      <c r="C268" s="8">
        <v>107</v>
      </c>
      <c r="D268" s="8" t="s">
        <v>72</v>
      </c>
      <c r="E268" s="8">
        <v>7.7771649199999997</v>
      </c>
      <c r="F268" s="8">
        <v>0.37796152026457314</v>
      </c>
      <c r="G268" s="8">
        <v>1.1223331307856335</v>
      </c>
      <c r="H268" s="8">
        <v>0.33676411209566626</v>
      </c>
    </row>
    <row r="269" spans="1:8" x14ac:dyDescent="0.45">
      <c r="A269" s="8" t="s">
        <v>602</v>
      </c>
      <c r="B269" s="8" t="s">
        <v>603</v>
      </c>
      <c r="C269" s="8">
        <v>107</v>
      </c>
      <c r="D269" s="8" t="s">
        <v>72</v>
      </c>
      <c r="E269" s="8">
        <v>10.746155309999999</v>
      </c>
      <c r="F269" s="8">
        <v>0.14819360010373556</v>
      </c>
      <c r="G269" s="8">
        <v>1.1223331307856335</v>
      </c>
      <c r="H269" s="8">
        <v>0.13204065356245878</v>
      </c>
    </row>
    <row r="270" spans="1:8" x14ac:dyDescent="0.45">
      <c r="A270" s="8" t="s">
        <v>604</v>
      </c>
      <c r="B270" s="8" t="s">
        <v>605</v>
      </c>
      <c r="C270" s="8">
        <v>107</v>
      </c>
      <c r="D270" s="8" t="s">
        <v>72</v>
      </c>
      <c r="E270" s="8">
        <v>11.131725419999999</v>
      </c>
      <c r="F270" s="8">
        <v>3.1922670022345875E-2</v>
      </c>
      <c r="G270" s="8">
        <v>1.1223331307856335</v>
      </c>
      <c r="H270" s="8">
        <v>2.8443132566174891E-2</v>
      </c>
    </row>
    <row r="271" spans="1:8" x14ac:dyDescent="0.45">
      <c r="A271" s="8" t="s">
        <v>606</v>
      </c>
      <c r="B271" s="8" t="s">
        <v>607</v>
      </c>
      <c r="C271" s="8">
        <v>107</v>
      </c>
      <c r="D271" s="8" t="s">
        <v>72</v>
      </c>
      <c r="E271" s="8">
        <v>8.3941605799999994</v>
      </c>
      <c r="F271" s="8">
        <v>4.7379520033165673E-2</v>
      </c>
      <c r="G271" s="8">
        <v>1.1223331307856335</v>
      </c>
      <c r="H271" s="8">
        <v>4.2215202183330358E-2</v>
      </c>
    </row>
    <row r="272" spans="1:8" x14ac:dyDescent="0.45">
      <c r="A272" s="8" t="s">
        <v>608</v>
      </c>
      <c r="B272" s="8" t="s">
        <v>609</v>
      </c>
      <c r="C272" s="8">
        <v>107</v>
      </c>
      <c r="D272" s="8" t="s">
        <v>72</v>
      </c>
      <c r="E272" s="8">
        <v>11.53846154</v>
      </c>
      <c r="F272" s="8">
        <v>6.6453120046517197E-2</v>
      </c>
      <c r="G272" s="8">
        <v>1.1223331307856335</v>
      </c>
      <c r="H272" s="8">
        <v>5.9209799856839294E-2</v>
      </c>
    </row>
  </sheetData>
  <sortState xmlns:xlrd2="http://schemas.microsoft.com/office/spreadsheetml/2017/richdata2" ref="A2:F272">
    <sortCondition ref="C2:C272"/>
  </sortState>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9996-0E0D-4957-BDF4-4D9C84F8BC4D}">
  <dimension ref="A1:E77"/>
  <sheetViews>
    <sheetView workbookViewId="0">
      <pane ySplit="1" topLeftCell="A2" activePane="bottomLeft" state="frozen"/>
      <selection pane="bottomLeft" activeCell="E11" sqref="E11"/>
    </sheetView>
  </sheetViews>
  <sheetFormatPr defaultRowHeight="13.2" x14ac:dyDescent="0.45"/>
  <cols>
    <col min="1" max="1" width="14.296875" style="8" customWidth="1"/>
    <col min="2" max="2" width="63.796875" style="8" customWidth="1"/>
    <col min="3" max="3" width="10.59765625" style="8" customWidth="1"/>
    <col min="4" max="4" width="13.296875" style="8" customWidth="1"/>
    <col min="5" max="5" width="2" style="8" customWidth="1"/>
    <col min="6" max="16384" width="8.796875" style="8"/>
  </cols>
  <sheetData>
    <row r="1" spans="1:5" s="7" customFormat="1" ht="35.4" customHeight="1" x14ac:dyDescent="0.45">
      <c r="A1" s="7" t="s">
        <v>638</v>
      </c>
      <c r="B1" s="7" t="s">
        <v>636</v>
      </c>
      <c r="C1" s="9" t="s">
        <v>613</v>
      </c>
      <c r="D1" s="9" t="s">
        <v>639</v>
      </c>
      <c r="E1" s="9" t="s">
        <v>640</v>
      </c>
    </row>
    <row r="2" spans="1:5" x14ac:dyDescent="0.45">
      <c r="A2" s="8">
        <v>5</v>
      </c>
      <c r="B2" s="8" t="s">
        <v>0</v>
      </c>
      <c r="C2" s="8">
        <v>19.452664082628942</v>
      </c>
      <c r="D2" s="8">
        <v>0.52258091196810763</v>
      </c>
      <c r="E2" s="8">
        <v>0</v>
      </c>
    </row>
    <row r="3" spans="1:5" x14ac:dyDescent="0.45">
      <c r="A3" s="8">
        <v>6</v>
      </c>
      <c r="B3" s="8" t="s">
        <v>1</v>
      </c>
      <c r="C3" s="8">
        <v>100</v>
      </c>
      <c r="D3" s="8">
        <v>0</v>
      </c>
      <c r="E3" s="8">
        <v>0</v>
      </c>
    </row>
    <row r="4" spans="1:5" x14ac:dyDescent="0.45">
      <c r="A4" s="8">
        <v>7</v>
      </c>
      <c r="B4" s="8" t="s">
        <v>2</v>
      </c>
      <c r="C4" s="8">
        <v>21.122701561026727</v>
      </c>
      <c r="D4" s="8">
        <v>0.49074522502006163</v>
      </c>
      <c r="E4" s="8">
        <v>0</v>
      </c>
    </row>
    <row r="5" spans="1:5" x14ac:dyDescent="0.45">
      <c r="A5" s="8">
        <v>9</v>
      </c>
      <c r="B5" s="8" t="s">
        <v>3</v>
      </c>
      <c r="C5" s="8">
        <v>22.657447612591156</v>
      </c>
      <c r="D5" s="8">
        <v>0.46265312554457633</v>
      </c>
      <c r="E5" s="8">
        <v>0</v>
      </c>
    </row>
    <row r="6" spans="1:5" x14ac:dyDescent="0.45">
      <c r="A6" s="8">
        <v>10</v>
      </c>
      <c r="B6" s="8" t="s">
        <v>4</v>
      </c>
      <c r="C6" s="8">
        <v>29.941772463106787</v>
      </c>
      <c r="D6" s="8">
        <v>0.34385665698341861</v>
      </c>
      <c r="E6" s="8">
        <v>0</v>
      </c>
    </row>
    <row r="7" spans="1:5" x14ac:dyDescent="0.45">
      <c r="A7" s="8">
        <v>11</v>
      </c>
      <c r="B7" s="8" t="s">
        <v>5</v>
      </c>
      <c r="C7" s="8">
        <v>18.377183456560989</v>
      </c>
      <c r="D7" s="8">
        <v>0.5437943994238934</v>
      </c>
      <c r="E7" s="8">
        <v>0</v>
      </c>
    </row>
    <row r="8" spans="1:5" x14ac:dyDescent="0.45">
      <c r="A8" s="8">
        <v>12</v>
      </c>
      <c r="B8" s="8" t="s">
        <v>6</v>
      </c>
      <c r="C8" s="8">
        <v>12.998797630498153</v>
      </c>
      <c r="D8" s="8">
        <v>0.65853030258160605</v>
      </c>
      <c r="E8" s="8">
        <v>0</v>
      </c>
    </row>
    <row r="9" spans="1:5" x14ac:dyDescent="0.45">
      <c r="A9" s="8">
        <v>14</v>
      </c>
      <c r="B9" s="8" t="s">
        <v>7</v>
      </c>
      <c r="C9" s="8">
        <v>22.624400272287566</v>
      </c>
      <c r="D9" s="8">
        <v>0.46324643370552165</v>
      </c>
      <c r="E9" s="8">
        <v>0</v>
      </c>
    </row>
    <row r="10" spans="1:5" x14ac:dyDescent="0.45">
      <c r="A10" s="8">
        <v>15</v>
      </c>
      <c r="B10" s="8" t="s">
        <v>8</v>
      </c>
      <c r="C10" s="8">
        <v>14.002261869951274</v>
      </c>
      <c r="D10" s="8">
        <v>0.63600581494945196</v>
      </c>
      <c r="E10" s="8">
        <v>0</v>
      </c>
    </row>
    <row r="11" spans="1:5" x14ac:dyDescent="0.45">
      <c r="A11" s="8">
        <v>16</v>
      </c>
      <c r="B11" s="8" t="s">
        <v>9</v>
      </c>
      <c r="C11" s="8">
        <v>13.326247318585901</v>
      </c>
      <c r="D11" s="8">
        <v>0.65112264755064486</v>
      </c>
      <c r="E11" s="8">
        <v>0</v>
      </c>
    </row>
    <row r="12" spans="1:5" x14ac:dyDescent="0.45">
      <c r="A12" s="8">
        <v>17</v>
      </c>
      <c r="B12" s="8" t="s">
        <v>10</v>
      </c>
      <c r="C12" s="8">
        <v>7.5111272501159636</v>
      </c>
      <c r="D12" s="8">
        <v>0.79116753675606344</v>
      </c>
      <c r="E12" s="8">
        <v>0</v>
      </c>
    </row>
    <row r="13" spans="1:5" x14ac:dyDescent="0.45">
      <c r="A13" s="8">
        <v>18</v>
      </c>
      <c r="B13" s="8" t="s">
        <v>11</v>
      </c>
      <c r="C13" s="8">
        <v>9.2362344599999986</v>
      </c>
      <c r="D13" s="8">
        <v>0.74771744936133477</v>
      </c>
      <c r="E13" s="8">
        <v>0</v>
      </c>
    </row>
    <row r="14" spans="1:5" x14ac:dyDescent="0.45">
      <c r="A14" s="8">
        <v>20</v>
      </c>
      <c r="B14" s="8" t="s">
        <v>12</v>
      </c>
      <c r="C14" s="8">
        <v>20.79048119700299</v>
      </c>
      <c r="D14" s="8">
        <v>0.49697223360252429</v>
      </c>
      <c r="E14" s="8">
        <v>0</v>
      </c>
    </row>
    <row r="15" spans="1:5" x14ac:dyDescent="0.45">
      <c r="A15" s="8">
        <v>21</v>
      </c>
      <c r="B15" s="8" t="s">
        <v>13</v>
      </c>
      <c r="C15" s="8">
        <v>11.74705920859671</v>
      </c>
      <c r="D15" s="8">
        <v>0.68736522711639547</v>
      </c>
      <c r="E15" s="8">
        <v>0</v>
      </c>
    </row>
    <row r="16" spans="1:5" x14ac:dyDescent="0.45">
      <c r="A16" s="8">
        <v>22</v>
      </c>
      <c r="B16" s="8" t="s">
        <v>14</v>
      </c>
      <c r="C16" s="8">
        <v>9.5746721671569226</v>
      </c>
      <c r="D16" s="8">
        <v>0.7393843872981487</v>
      </c>
      <c r="E16" s="8">
        <v>0</v>
      </c>
    </row>
    <row r="17" spans="1:5" x14ac:dyDescent="0.45">
      <c r="A17" s="8">
        <v>23</v>
      </c>
      <c r="B17" s="8" t="s">
        <v>15</v>
      </c>
      <c r="C17" s="8">
        <v>25.749318799999998</v>
      </c>
      <c r="D17" s="8">
        <v>0.40935615722288876</v>
      </c>
      <c r="E17" s="8">
        <v>0</v>
      </c>
    </row>
    <row r="18" spans="1:5" x14ac:dyDescent="0.45">
      <c r="A18" s="8">
        <v>24</v>
      </c>
      <c r="B18" s="8" t="s">
        <v>16</v>
      </c>
      <c r="C18" s="8">
        <v>17.45299752</v>
      </c>
      <c r="D18" s="8">
        <v>0.56247590377753809</v>
      </c>
      <c r="E18" s="8">
        <v>0</v>
      </c>
    </row>
    <row r="19" spans="1:5" x14ac:dyDescent="0.45">
      <c r="A19" s="8">
        <v>27</v>
      </c>
      <c r="B19" s="8" t="s">
        <v>17</v>
      </c>
      <c r="C19" s="8">
        <v>31.766696739376272</v>
      </c>
      <c r="D19" s="8">
        <v>0.31767949933409412</v>
      </c>
      <c r="E19" s="8">
        <v>0</v>
      </c>
    </row>
    <row r="20" spans="1:5" x14ac:dyDescent="0.45">
      <c r="A20" s="8">
        <v>28</v>
      </c>
      <c r="B20" s="8" t="s">
        <v>18</v>
      </c>
      <c r="C20" s="8">
        <v>21.043108744359017</v>
      </c>
      <c r="D20" s="8">
        <v>0.49223231533148448</v>
      </c>
      <c r="E20" s="8">
        <v>0</v>
      </c>
    </row>
    <row r="21" spans="1:5" x14ac:dyDescent="0.45">
      <c r="A21" s="8">
        <v>29</v>
      </c>
      <c r="B21" s="8" t="s">
        <v>19</v>
      </c>
      <c r="C21" s="8">
        <v>0</v>
      </c>
      <c r="D21" s="8">
        <v>1</v>
      </c>
      <c r="E21" s="8">
        <v>1</v>
      </c>
    </row>
    <row r="22" spans="1:5" x14ac:dyDescent="0.45">
      <c r="A22" s="8">
        <v>32</v>
      </c>
      <c r="B22" s="8" t="s">
        <v>20</v>
      </c>
      <c r="C22" s="8">
        <v>32.889779500364853</v>
      </c>
      <c r="D22" s="8">
        <v>0.30224978266787333</v>
      </c>
      <c r="E22" s="8">
        <v>0</v>
      </c>
    </row>
    <row r="23" spans="1:5" x14ac:dyDescent="0.45">
      <c r="A23" s="8">
        <v>33</v>
      </c>
      <c r="B23" s="8" t="s">
        <v>21</v>
      </c>
      <c r="C23" s="8">
        <v>31.632186724269353</v>
      </c>
      <c r="D23" s="8">
        <v>0.31956195398872916</v>
      </c>
      <c r="E23" s="8">
        <v>0</v>
      </c>
    </row>
    <row r="24" spans="1:5" x14ac:dyDescent="0.45">
      <c r="A24" s="8">
        <v>34</v>
      </c>
      <c r="B24" s="8" t="s">
        <v>22</v>
      </c>
      <c r="C24" s="8">
        <v>27.723170969272413</v>
      </c>
      <c r="D24" s="8">
        <v>0.37756981931192457</v>
      </c>
      <c r="E24" s="8">
        <v>0</v>
      </c>
    </row>
    <row r="25" spans="1:5" x14ac:dyDescent="0.45">
      <c r="A25" s="8">
        <v>35</v>
      </c>
      <c r="B25" s="8" t="s">
        <v>23</v>
      </c>
      <c r="C25" s="8">
        <v>25.753664256945441</v>
      </c>
      <c r="D25" s="8">
        <v>0.409284289783097</v>
      </c>
      <c r="E25" s="8">
        <v>0</v>
      </c>
    </row>
    <row r="26" spans="1:5" x14ac:dyDescent="0.45">
      <c r="A26" s="8">
        <v>37</v>
      </c>
      <c r="B26" s="8" t="s">
        <v>24</v>
      </c>
      <c r="C26" s="8">
        <v>87.474161039159128</v>
      </c>
      <c r="D26" s="8">
        <v>1.9652620670917408E-3</v>
      </c>
      <c r="E26" s="8">
        <v>0</v>
      </c>
    </row>
    <row r="27" spans="1:5" x14ac:dyDescent="0.45">
      <c r="A27" s="8">
        <v>38</v>
      </c>
      <c r="B27" s="8" t="s">
        <v>25</v>
      </c>
      <c r="C27" s="8">
        <v>60.103994438842911</v>
      </c>
      <c r="D27" s="8">
        <v>6.3502123350067691E-2</v>
      </c>
      <c r="E27" s="8">
        <v>0</v>
      </c>
    </row>
    <row r="28" spans="1:5" x14ac:dyDescent="0.45">
      <c r="A28" s="8">
        <v>40</v>
      </c>
      <c r="B28" s="8" t="s">
        <v>26</v>
      </c>
      <c r="C28" s="8">
        <v>15.058250660558624</v>
      </c>
      <c r="D28" s="8">
        <v>0.61286328198530038</v>
      </c>
      <c r="E28" s="8">
        <v>0</v>
      </c>
    </row>
    <row r="29" spans="1:5" x14ac:dyDescent="0.45">
      <c r="A29" s="8">
        <v>41</v>
      </c>
      <c r="B29" s="8" t="s">
        <v>27</v>
      </c>
      <c r="C29" s="8">
        <v>11.459402781060179</v>
      </c>
      <c r="D29" s="8">
        <v>0.69410846535066018</v>
      </c>
      <c r="E29" s="8">
        <v>0</v>
      </c>
    </row>
    <row r="30" spans="1:5" x14ac:dyDescent="0.45">
      <c r="A30" s="8">
        <v>42</v>
      </c>
      <c r="B30" s="8" t="s">
        <v>28</v>
      </c>
      <c r="C30" s="8">
        <v>18.818240144931739</v>
      </c>
      <c r="D30" s="8">
        <v>0.53502661313675848</v>
      </c>
      <c r="E30" s="8">
        <v>0</v>
      </c>
    </row>
    <row r="31" spans="1:5" x14ac:dyDescent="0.45">
      <c r="A31" s="8">
        <v>43</v>
      </c>
      <c r="B31" s="8" t="s">
        <v>29</v>
      </c>
      <c r="C31" s="8">
        <v>13.407001491352858</v>
      </c>
      <c r="D31" s="8">
        <v>0.64930438442181104</v>
      </c>
      <c r="E31" s="8">
        <v>0</v>
      </c>
    </row>
    <row r="32" spans="1:5" x14ac:dyDescent="0.45">
      <c r="A32" s="8">
        <v>44</v>
      </c>
      <c r="B32" s="8" t="s">
        <v>30</v>
      </c>
      <c r="C32" s="8">
        <v>32.563425638226583</v>
      </c>
      <c r="D32" s="8">
        <v>0.30668074017168684</v>
      </c>
      <c r="E32" s="8">
        <v>0</v>
      </c>
    </row>
    <row r="33" spans="1:5" x14ac:dyDescent="0.45">
      <c r="A33" s="8">
        <v>45</v>
      </c>
      <c r="B33" s="8" t="s">
        <v>31</v>
      </c>
      <c r="C33" s="8">
        <v>6.110198857952911</v>
      </c>
      <c r="D33" s="8">
        <v>0.82766627188345165</v>
      </c>
      <c r="E33" s="8">
        <v>0</v>
      </c>
    </row>
    <row r="34" spans="1:5" x14ac:dyDescent="0.45">
      <c r="A34" s="8">
        <v>46</v>
      </c>
      <c r="B34" s="8" t="s">
        <v>32</v>
      </c>
      <c r="C34" s="8">
        <v>0</v>
      </c>
      <c r="D34" s="8">
        <v>1</v>
      </c>
      <c r="E34" s="8">
        <v>1</v>
      </c>
    </row>
    <row r="35" spans="1:5" x14ac:dyDescent="0.45">
      <c r="A35" s="8">
        <v>51</v>
      </c>
      <c r="B35" s="8" t="s">
        <v>33</v>
      </c>
      <c r="C35" s="8">
        <v>0</v>
      </c>
      <c r="D35" s="8">
        <v>1</v>
      </c>
      <c r="E35" s="8">
        <v>1</v>
      </c>
    </row>
    <row r="36" spans="1:5" x14ac:dyDescent="0.45">
      <c r="A36" s="8">
        <v>52</v>
      </c>
      <c r="B36" s="8" t="s">
        <v>34</v>
      </c>
      <c r="C36" s="8">
        <v>0</v>
      </c>
      <c r="D36" s="8">
        <v>1</v>
      </c>
      <c r="E36" s="8">
        <v>1</v>
      </c>
    </row>
    <row r="37" spans="1:5" x14ac:dyDescent="0.45">
      <c r="A37" s="8">
        <v>53</v>
      </c>
      <c r="B37" s="8" t="s">
        <v>35</v>
      </c>
      <c r="C37" s="8">
        <v>0</v>
      </c>
      <c r="D37" s="8">
        <v>1</v>
      </c>
      <c r="E37" s="8">
        <v>1</v>
      </c>
    </row>
    <row r="38" spans="1:5" x14ac:dyDescent="0.45">
      <c r="A38" s="8">
        <v>54</v>
      </c>
      <c r="B38" s="8" t="s">
        <v>36</v>
      </c>
      <c r="C38" s="8">
        <v>0</v>
      </c>
      <c r="D38" s="8">
        <v>1</v>
      </c>
      <c r="E38" s="8">
        <v>1</v>
      </c>
    </row>
    <row r="39" spans="1:5" x14ac:dyDescent="0.45">
      <c r="A39" s="8">
        <v>56</v>
      </c>
      <c r="B39" s="8" t="s">
        <v>37</v>
      </c>
      <c r="C39" s="8">
        <v>10.335426609329319</v>
      </c>
      <c r="D39" s="8">
        <v>0.72087947362687721</v>
      </c>
      <c r="E39" s="8">
        <v>0</v>
      </c>
    </row>
    <row r="40" spans="1:5" x14ac:dyDescent="0.45">
      <c r="A40" s="8">
        <v>58</v>
      </c>
      <c r="B40" s="8" t="s">
        <v>38</v>
      </c>
      <c r="C40" s="8">
        <v>38.144052379999998</v>
      </c>
      <c r="D40" s="8">
        <v>0.23667064466699847</v>
      </c>
      <c r="E40" s="8">
        <v>0</v>
      </c>
    </row>
    <row r="41" spans="1:5" x14ac:dyDescent="0.45">
      <c r="A41" s="8">
        <v>59</v>
      </c>
      <c r="B41" s="8" t="s">
        <v>39</v>
      </c>
      <c r="C41" s="8">
        <v>72.438880459999993</v>
      </c>
      <c r="D41" s="8">
        <v>2.0935848371542078E-2</v>
      </c>
      <c r="E41" s="8">
        <v>0</v>
      </c>
    </row>
    <row r="42" spans="1:5" x14ac:dyDescent="0.45">
      <c r="A42" s="8">
        <v>62</v>
      </c>
      <c r="B42" s="8" t="s">
        <v>40</v>
      </c>
      <c r="C42" s="8">
        <v>4.3131874339281078</v>
      </c>
      <c r="D42" s="8">
        <v>0.87610521198154334</v>
      </c>
      <c r="E42" s="8">
        <v>0</v>
      </c>
    </row>
    <row r="43" spans="1:5" x14ac:dyDescent="0.45">
      <c r="A43" s="8">
        <v>63</v>
      </c>
      <c r="B43" s="8" t="s">
        <v>41</v>
      </c>
      <c r="C43" s="8">
        <v>4.4795172299999999</v>
      </c>
      <c r="D43" s="8">
        <v>0.87154441915718883</v>
      </c>
      <c r="E43" s="8">
        <v>0</v>
      </c>
    </row>
    <row r="44" spans="1:5" x14ac:dyDescent="0.45">
      <c r="A44" s="8">
        <v>64</v>
      </c>
      <c r="B44" s="8" t="s">
        <v>42</v>
      </c>
      <c r="C44" s="8">
        <v>0</v>
      </c>
      <c r="D44" s="8">
        <v>1</v>
      </c>
      <c r="E44" s="8">
        <v>1</v>
      </c>
    </row>
    <row r="45" spans="1:5" x14ac:dyDescent="0.45">
      <c r="A45" s="8">
        <v>66</v>
      </c>
      <c r="B45" s="8" t="s">
        <v>43</v>
      </c>
      <c r="C45" s="8">
        <v>6.25926092</v>
      </c>
      <c r="D45" s="8">
        <v>0.8237304490814481</v>
      </c>
      <c r="E45" s="8">
        <v>0</v>
      </c>
    </row>
    <row r="46" spans="1:5" x14ac:dyDescent="0.45">
      <c r="A46" s="8">
        <v>67</v>
      </c>
      <c r="B46" s="8" t="s">
        <v>44</v>
      </c>
      <c r="C46" s="8">
        <v>5.7001239199999993</v>
      </c>
      <c r="D46" s="8">
        <v>0.83855850113226182</v>
      </c>
      <c r="E46" s="8">
        <v>0</v>
      </c>
    </row>
    <row r="47" spans="1:5" x14ac:dyDescent="0.45">
      <c r="A47" s="8">
        <v>70</v>
      </c>
      <c r="B47" s="8" t="s">
        <v>45</v>
      </c>
      <c r="C47" s="8">
        <v>14.945452123018697</v>
      </c>
      <c r="D47" s="8">
        <v>0.61530808414095051</v>
      </c>
      <c r="E47" s="8">
        <v>0</v>
      </c>
    </row>
    <row r="48" spans="1:5" x14ac:dyDescent="0.45">
      <c r="A48" s="8">
        <v>71</v>
      </c>
      <c r="B48" s="8" t="s">
        <v>46</v>
      </c>
      <c r="C48" s="8">
        <v>25.731847554545435</v>
      </c>
      <c r="D48" s="8">
        <v>0.40964519072857486</v>
      </c>
      <c r="E48" s="8">
        <v>0</v>
      </c>
    </row>
    <row r="49" spans="1:5" x14ac:dyDescent="0.45">
      <c r="A49" s="8">
        <v>73</v>
      </c>
      <c r="B49" s="8" t="s">
        <v>47</v>
      </c>
      <c r="C49" s="8">
        <v>8.6447560109334098</v>
      </c>
      <c r="D49" s="8">
        <v>0.76243082338521861</v>
      </c>
      <c r="E49" s="8">
        <v>0</v>
      </c>
    </row>
    <row r="50" spans="1:5" x14ac:dyDescent="0.45">
      <c r="A50" s="8">
        <v>74</v>
      </c>
      <c r="B50" s="8" t="s">
        <v>48</v>
      </c>
      <c r="C50" s="8">
        <v>59.837914609999999</v>
      </c>
      <c r="D50" s="8">
        <v>6.478116673109266E-2</v>
      </c>
      <c r="E50" s="8">
        <v>0</v>
      </c>
    </row>
    <row r="51" spans="1:5" x14ac:dyDescent="0.45">
      <c r="A51" s="8">
        <v>75</v>
      </c>
      <c r="B51" s="8" t="s">
        <v>49</v>
      </c>
      <c r="C51" s="8">
        <v>29.81427175</v>
      </c>
      <c r="D51" s="8">
        <v>0.34573745562809088</v>
      </c>
      <c r="E51" s="8">
        <v>0</v>
      </c>
    </row>
    <row r="52" spans="1:5" x14ac:dyDescent="0.45">
      <c r="A52" s="8">
        <v>77</v>
      </c>
      <c r="B52" s="8" t="s">
        <v>50</v>
      </c>
      <c r="C52" s="8">
        <v>9.3955618459381309</v>
      </c>
      <c r="D52" s="8">
        <v>0.74378671125261542</v>
      </c>
      <c r="E52" s="8">
        <v>0</v>
      </c>
    </row>
    <row r="53" spans="1:5" x14ac:dyDescent="0.45">
      <c r="A53" s="8">
        <v>78</v>
      </c>
      <c r="B53" s="8" t="s">
        <v>51</v>
      </c>
      <c r="C53" s="8">
        <v>12.098513487983809</v>
      </c>
      <c r="D53" s="8">
        <v>0.67918589578662703</v>
      </c>
      <c r="E53" s="8">
        <v>0</v>
      </c>
    </row>
    <row r="54" spans="1:5" x14ac:dyDescent="0.45">
      <c r="A54" s="8">
        <v>79</v>
      </c>
      <c r="B54" s="8" t="s">
        <v>52</v>
      </c>
      <c r="C54" s="8">
        <v>0</v>
      </c>
      <c r="D54" s="8">
        <v>1</v>
      </c>
      <c r="E54" s="8">
        <v>1</v>
      </c>
    </row>
    <row r="55" spans="1:5" x14ac:dyDescent="0.45">
      <c r="A55" s="8">
        <v>80</v>
      </c>
      <c r="B55" s="8" t="s">
        <v>53</v>
      </c>
      <c r="C55" s="8">
        <v>7.2478067473101806</v>
      </c>
      <c r="D55" s="8">
        <v>0.7979442759935198</v>
      </c>
      <c r="E55" s="8">
        <v>0</v>
      </c>
    </row>
    <row r="56" spans="1:5" x14ac:dyDescent="0.45">
      <c r="A56" s="8">
        <v>83</v>
      </c>
      <c r="B56" s="8" t="s">
        <v>54</v>
      </c>
      <c r="C56" s="8">
        <v>17.001242556459264</v>
      </c>
      <c r="D56" s="8">
        <v>0.5717613204700972</v>
      </c>
      <c r="E56" s="8">
        <v>0</v>
      </c>
    </row>
    <row r="57" spans="1:5" x14ac:dyDescent="0.45">
      <c r="A57" s="8">
        <v>84</v>
      </c>
      <c r="B57" s="8" t="s">
        <v>55</v>
      </c>
      <c r="C57" s="8">
        <v>2.9448752900000001</v>
      </c>
      <c r="D57" s="8">
        <v>0.91422988962817209</v>
      </c>
      <c r="E57" s="8">
        <v>0</v>
      </c>
    </row>
    <row r="58" spans="1:5" x14ac:dyDescent="0.45">
      <c r="A58" s="8">
        <v>85</v>
      </c>
      <c r="B58" s="8" t="s">
        <v>56</v>
      </c>
      <c r="C58" s="8">
        <v>5.4622789300000001</v>
      </c>
      <c r="D58" s="8">
        <v>0.8449196041960062</v>
      </c>
      <c r="E58" s="8">
        <v>0</v>
      </c>
    </row>
    <row r="59" spans="1:5" x14ac:dyDescent="0.45">
      <c r="A59" s="8">
        <v>88</v>
      </c>
      <c r="B59" s="8" t="s">
        <v>57</v>
      </c>
      <c r="C59" s="8">
        <v>0</v>
      </c>
      <c r="D59" s="8">
        <v>1</v>
      </c>
      <c r="E59" s="8">
        <v>1</v>
      </c>
    </row>
    <row r="60" spans="1:5" x14ac:dyDescent="0.45">
      <c r="A60" s="8">
        <v>89</v>
      </c>
      <c r="B60" s="8" t="s">
        <v>58</v>
      </c>
      <c r="C60" s="8">
        <v>3.4518828500000001</v>
      </c>
      <c r="D60" s="8">
        <v>0.89997703216947222</v>
      </c>
      <c r="E60" s="8">
        <v>0</v>
      </c>
    </row>
    <row r="61" spans="1:5" x14ac:dyDescent="0.45">
      <c r="A61" s="8">
        <v>91</v>
      </c>
      <c r="B61" s="8" t="s">
        <v>59</v>
      </c>
      <c r="C61" s="8">
        <v>0</v>
      </c>
      <c r="D61" s="8">
        <v>1</v>
      </c>
      <c r="E61" s="8">
        <v>1</v>
      </c>
    </row>
    <row r="62" spans="1:5" x14ac:dyDescent="0.45">
      <c r="A62" s="8">
        <v>92</v>
      </c>
      <c r="B62" s="8" t="s">
        <v>60</v>
      </c>
      <c r="C62" s="8">
        <v>7.9016221900000003</v>
      </c>
      <c r="D62" s="8">
        <v>0.7811886814850455</v>
      </c>
      <c r="E62" s="8">
        <v>0</v>
      </c>
    </row>
    <row r="63" spans="1:5" x14ac:dyDescent="0.45">
      <c r="A63" s="8">
        <v>93</v>
      </c>
      <c r="B63" s="8" t="s">
        <v>61</v>
      </c>
      <c r="C63" s="8">
        <v>0</v>
      </c>
      <c r="D63" s="8">
        <v>1</v>
      </c>
      <c r="E63" s="8">
        <v>1</v>
      </c>
    </row>
    <row r="64" spans="1:5" x14ac:dyDescent="0.45">
      <c r="A64" s="8">
        <v>94</v>
      </c>
      <c r="B64" s="8" t="s">
        <v>62</v>
      </c>
      <c r="C64" s="8">
        <v>8.1566446500000005</v>
      </c>
      <c r="D64" s="8">
        <v>0.77471724756632376</v>
      </c>
      <c r="E64" s="8">
        <v>0</v>
      </c>
    </row>
    <row r="65" spans="1:5" x14ac:dyDescent="0.45">
      <c r="A65" s="8">
        <v>97</v>
      </c>
      <c r="B65" s="8" t="s">
        <v>63</v>
      </c>
      <c r="C65" s="8">
        <v>40.653516895729652</v>
      </c>
      <c r="D65" s="8">
        <v>0.20901861359923304</v>
      </c>
      <c r="E65" s="8">
        <v>0</v>
      </c>
    </row>
    <row r="66" spans="1:5" x14ac:dyDescent="0.45">
      <c r="A66" s="8">
        <v>98</v>
      </c>
      <c r="B66" s="8" t="s">
        <v>64</v>
      </c>
      <c r="C66" s="8">
        <v>24.555991727702946</v>
      </c>
      <c r="D66" s="8">
        <v>0.42941208438110962</v>
      </c>
      <c r="E66" s="8">
        <v>0</v>
      </c>
    </row>
    <row r="67" spans="1:5" x14ac:dyDescent="0.45">
      <c r="A67" s="8">
        <v>99</v>
      </c>
      <c r="B67" s="8" t="s">
        <v>65</v>
      </c>
      <c r="C67" s="8">
        <v>0</v>
      </c>
      <c r="D67" s="8">
        <v>1</v>
      </c>
      <c r="E67" s="8">
        <v>1</v>
      </c>
    </row>
    <row r="68" spans="1:5" x14ac:dyDescent="0.45">
      <c r="A68" s="8">
        <v>101</v>
      </c>
      <c r="B68" s="8" t="s">
        <v>66</v>
      </c>
      <c r="C68" s="8">
        <v>5.8770046306257111</v>
      </c>
      <c r="D68" s="8">
        <v>0.83384862916880065</v>
      </c>
      <c r="E68" s="8">
        <v>0</v>
      </c>
    </row>
    <row r="69" spans="1:5" x14ac:dyDescent="0.45">
      <c r="A69" s="8">
        <v>102</v>
      </c>
      <c r="B69" s="8" t="s">
        <v>67</v>
      </c>
      <c r="C69" s="8">
        <v>6.9099003199999993</v>
      </c>
      <c r="D69" s="8">
        <v>0.80669708203708679</v>
      </c>
      <c r="E69" s="8">
        <v>0</v>
      </c>
    </row>
    <row r="70" spans="1:5" x14ac:dyDescent="0.45">
      <c r="A70" s="8">
        <v>103</v>
      </c>
      <c r="B70" s="8" t="s">
        <v>68</v>
      </c>
      <c r="C70" s="8">
        <v>9.1593567299999989</v>
      </c>
      <c r="D70" s="8">
        <v>0.74961902942671399</v>
      </c>
      <c r="E70" s="8">
        <v>0</v>
      </c>
    </row>
    <row r="71" spans="1:5" x14ac:dyDescent="0.45">
      <c r="A71" s="8">
        <v>104</v>
      </c>
      <c r="B71" s="8" t="s">
        <v>69</v>
      </c>
      <c r="C71" s="8">
        <v>5.3025102035991409</v>
      </c>
      <c r="D71" s="8">
        <v>0.84921058959474671</v>
      </c>
      <c r="E71" s="8">
        <v>0</v>
      </c>
    </row>
    <row r="72" spans="1:5" x14ac:dyDescent="0.45">
      <c r="A72" s="8">
        <v>105</v>
      </c>
      <c r="B72" s="8" t="s">
        <v>70</v>
      </c>
      <c r="C72" s="8">
        <v>3.2261161102264331</v>
      </c>
      <c r="D72" s="8">
        <v>0.90630528738779559</v>
      </c>
      <c r="E72" s="8">
        <v>0</v>
      </c>
    </row>
    <row r="73" spans="1:5" x14ac:dyDescent="0.45">
      <c r="A73" s="8">
        <v>106</v>
      </c>
      <c r="B73" s="8" t="s">
        <v>71</v>
      </c>
      <c r="C73" s="8">
        <v>2.7600849300000001</v>
      </c>
      <c r="D73" s="8">
        <v>0.91946184622929605</v>
      </c>
      <c r="E73" s="8">
        <v>0</v>
      </c>
    </row>
    <row r="74" spans="1:5" x14ac:dyDescent="0.45">
      <c r="A74" s="8">
        <v>107</v>
      </c>
      <c r="B74" s="8" t="s">
        <v>72</v>
      </c>
      <c r="C74" s="8">
        <v>7.1207341482532565</v>
      </c>
      <c r="D74" s="8">
        <v>0.80122837620430376</v>
      </c>
      <c r="E74" s="8">
        <v>0</v>
      </c>
    </row>
    <row r="75" spans="1:5" x14ac:dyDescent="0.45">
      <c r="A75" s="8">
        <v>109</v>
      </c>
      <c r="B75" s="8" t="s">
        <v>73</v>
      </c>
      <c r="C75" s="8">
        <v>0</v>
      </c>
      <c r="D75" s="8">
        <v>1</v>
      </c>
      <c r="E75" s="8">
        <v>1</v>
      </c>
    </row>
    <row r="76" spans="1:5" x14ac:dyDescent="0.45">
      <c r="A76" s="8">
        <v>110</v>
      </c>
      <c r="B76" s="8" t="s">
        <v>74</v>
      </c>
      <c r="C76" s="8">
        <v>0</v>
      </c>
      <c r="D76" s="8">
        <v>1</v>
      </c>
      <c r="E76" s="8">
        <v>1</v>
      </c>
    </row>
    <row r="77" spans="1:5" x14ac:dyDescent="0.45">
      <c r="A77" s="8">
        <v>111</v>
      </c>
      <c r="B77" s="8" t="s">
        <v>75</v>
      </c>
      <c r="C77" s="8">
        <v>0</v>
      </c>
      <c r="D77" s="8">
        <v>1</v>
      </c>
      <c r="E77" s="8">
        <v>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ED3D2-EEE8-4FC0-A83C-478A44784655}">
  <dimension ref="A1:D112"/>
  <sheetViews>
    <sheetView workbookViewId="0">
      <pane ySplit="1" topLeftCell="A2" activePane="bottomLeft" state="frozen"/>
      <selection pane="bottomLeft" activeCell="D1" sqref="D1"/>
    </sheetView>
  </sheetViews>
  <sheetFormatPr defaultRowHeight="13.2" x14ac:dyDescent="0.45"/>
  <cols>
    <col min="1" max="1" width="3.796875" style="8" customWidth="1"/>
    <col min="2" max="2" width="10.59765625" style="8" customWidth="1"/>
    <col min="3" max="3" width="13.296875" style="8" customWidth="1"/>
    <col min="4" max="4" width="2" style="8" customWidth="1"/>
    <col min="5" max="16384" width="8.796875" style="8"/>
  </cols>
  <sheetData>
    <row r="1" spans="1:4" ht="31.2" customHeight="1" x14ac:dyDescent="0.45">
      <c r="A1" s="10" t="s">
        <v>638</v>
      </c>
      <c r="B1" s="12" t="s">
        <v>641</v>
      </c>
      <c r="C1" s="12" t="s">
        <v>642</v>
      </c>
      <c r="D1" s="10" t="s">
        <v>643</v>
      </c>
    </row>
    <row r="2" spans="1:4" x14ac:dyDescent="0.45">
      <c r="A2" s="8">
        <v>1</v>
      </c>
      <c r="B2" s="8">
        <v>0</v>
      </c>
      <c r="C2" s="8">
        <v>0</v>
      </c>
      <c r="D2" s="8">
        <v>0</v>
      </c>
    </row>
    <row r="3" spans="1:4" x14ac:dyDescent="0.45">
      <c r="A3" s="8">
        <v>2</v>
      </c>
      <c r="B3" s="8">
        <v>0</v>
      </c>
      <c r="C3" s="8">
        <v>0</v>
      </c>
      <c r="D3" s="8">
        <v>0</v>
      </c>
    </row>
    <row r="4" spans="1:4" x14ac:dyDescent="0.45">
      <c r="A4" s="8">
        <v>3</v>
      </c>
      <c r="B4" s="8">
        <v>0</v>
      </c>
      <c r="C4" s="8">
        <v>0</v>
      </c>
      <c r="D4" s="8">
        <v>0</v>
      </c>
    </row>
    <row r="5" spans="1:4" x14ac:dyDescent="0.45">
      <c r="A5" s="8">
        <v>4</v>
      </c>
      <c r="B5" s="8">
        <v>0</v>
      </c>
      <c r="C5" s="8">
        <v>0</v>
      </c>
      <c r="D5" s="8">
        <v>0</v>
      </c>
    </row>
    <row r="6" spans="1:4" x14ac:dyDescent="0.45">
      <c r="A6" s="8">
        <v>5</v>
      </c>
      <c r="B6" s="8">
        <v>19.452664082628942</v>
      </c>
      <c r="C6" s="8">
        <v>0.52258091196810763</v>
      </c>
      <c r="D6" s="8">
        <v>1</v>
      </c>
    </row>
    <row r="7" spans="1:4" x14ac:dyDescent="0.45">
      <c r="A7" s="8">
        <v>6</v>
      </c>
      <c r="B7" s="8">
        <v>100</v>
      </c>
      <c r="C7" s="8">
        <v>0</v>
      </c>
      <c r="D7" s="8">
        <v>1</v>
      </c>
    </row>
    <row r="8" spans="1:4" x14ac:dyDescent="0.45">
      <c r="A8" s="8">
        <v>7</v>
      </c>
      <c r="B8" s="8">
        <v>21.122701561026727</v>
      </c>
      <c r="C8" s="8">
        <v>0.49074522502006163</v>
      </c>
      <c r="D8" s="8">
        <v>1</v>
      </c>
    </row>
    <row r="9" spans="1:4" x14ac:dyDescent="0.45">
      <c r="A9" s="8">
        <v>8</v>
      </c>
      <c r="B9" s="8">
        <v>0</v>
      </c>
      <c r="C9" s="8">
        <v>0</v>
      </c>
      <c r="D9" s="8">
        <v>0</v>
      </c>
    </row>
    <row r="10" spans="1:4" x14ac:dyDescent="0.45">
      <c r="A10" s="8">
        <v>9</v>
      </c>
      <c r="B10" s="8">
        <v>22.657447612591156</v>
      </c>
      <c r="C10" s="8">
        <v>0.46265312554457633</v>
      </c>
      <c r="D10" s="8">
        <v>1</v>
      </c>
    </row>
    <row r="11" spans="1:4" x14ac:dyDescent="0.45">
      <c r="A11" s="8">
        <v>10</v>
      </c>
      <c r="B11" s="8">
        <v>29.941772463106787</v>
      </c>
      <c r="C11" s="8">
        <v>0.34385665698341861</v>
      </c>
      <c r="D11" s="8">
        <v>1</v>
      </c>
    </row>
    <row r="12" spans="1:4" x14ac:dyDescent="0.45">
      <c r="A12" s="8">
        <v>11</v>
      </c>
      <c r="B12" s="8">
        <v>18.377183456560989</v>
      </c>
      <c r="C12" s="8">
        <v>0.5437943994238934</v>
      </c>
      <c r="D12" s="8">
        <v>1</v>
      </c>
    </row>
    <row r="13" spans="1:4" x14ac:dyDescent="0.45">
      <c r="A13" s="8">
        <v>12</v>
      </c>
      <c r="B13" s="8">
        <v>12.998797630498153</v>
      </c>
      <c r="C13" s="8">
        <v>0.65853030258160605</v>
      </c>
      <c r="D13" s="8">
        <v>1</v>
      </c>
    </row>
    <row r="14" spans="1:4" x14ac:dyDescent="0.45">
      <c r="A14" s="8">
        <v>13</v>
      </c>
      <c r="B14" s="8">
        <v>0</v>
      </c>
      <c r="C14" s="8">
        <v>0</v>
      </c>
      <c r="D14" s="8">
        <v>0</v>
      </c>
    </row>
    <row r="15" spans="1:4" x14ac:dyDescent="0.45">
      <c r="A15" s="8">
        <v>14</v>
      </c>
      <c r="B15" s="8">
        <v>22.624400272287566</v>
      </c>
      <c r="C15" s="8">
        <v>0.46324643370552165</v>
      </c>
      <c r="D15" s="8">
        <v>1</v>
      </c>
    </row>
    <row r="16" spans="1:4" x14ac:dyDescent="0.45">
      <c r="A16" s="8">
        <v>15</v>
      </c>
      <c r="B16" s="8">
        <v>14.002261869951274</v>
      </c>
      <c r="C16" s="8">
        <v>0.63600581494945196</v>
      </c>
      <c r="D16" s="8">
        <v>1</v>
      </c>
    </row>
    <row r="17" spans="1:4" x14ac:dyDescent="0.45">
      <c r="A17" s="8">
        <v>16</v>
      </c>
      <c r="B17" s="8">
        <v>13.326247318585901</v>
      </c>
      <c r="C17" s="8">
        <v>0.65112264755064486</v>
      </c>
      <c r="D17" s="8">
        <v>1</v>
      </c>
    </row>
    <row r="18" spans="1:4" x14ac:dyDescent="0.45">
      <c r="A18" s="8">
        <v>17</v>
      </c>
      <c r="B18" s="8">
        <v>7.5111272501159636</v>
      </c>
      <c r="C18" s="8">
        <v>0.79116753675606344</v>
      </c>
      <c r="D18" s="8">
        <v>1</v>
      </c>
    </row>
    <row r="19" spans="1:4" x14ac:dyDescent="0.45">
      <c r="A19" s="8">
        <v>18</v>
      </c>
      <c r="B19" s="8">
        <v>9.2362344599999986</v>
      </c>
      <c r="C19" s="8">
        <v>0.74771744936133477</v>
      </c>
      <c r="D19" s="8">
        <v>1</v>
      </c>
    </row>
    <row r="20" spans="1:4" x14ac:dyDescent="0.45">
      <c r="A20" s="8">
        <v>19</v>
      </c>
      <c r="B20" s="8">
        <v>0</v>
      </c>
      <c r="C20" s="8">
        <v>0</v>
      </c>
      <c r="D20" s="8">
        <v>0</v>
      </c>
    </row>
    <row r="21" spans="1:4" x14ac:dyDescent="0.45">
      <c r="A21" s="8">
        <v>20</v>
      </c>
      <c r="B21" s="8">
        <v>20.79048119700299</v>
      </c>
      <c r="C21" s="8">
        <v>0.49697223360252429</v>
      </c>
      <c r="D21" s="8">
        <v>1</v>
      </c>
    </row>
    <row r="22" spans="1:4" x14ac:dyDescent="0.45">
      <c r="A22" s="8">
        <v>21</v>
      </c>
      <c r="B22" s="8">
        <v>11.74705920859671</v>
      </c>
      <c r="C22" s="8">
        <v>0.68736522711639547</v>
      </c>
      <c r="D22" s="8">
        <v>1</v>
      </c>
    </row>
    <row r="23" spans="1:4" x14ac:dyDescent="0.45">
      <c r="A23" s="8">
        <v>22</v>
      </c>
      <c r="B23" s="8">
        <v>9.5746721671569226</v>
      </c>
      <c r="C23" s="8">
        <v>0.7393843872981487</v>
      </c>
      <c r="D23" s="8">
        <v>1</v>
      </c>
    </row>
    <row r="24" spans="1:4" x14ac:dyDescent="0.45">
      <c r="A24" s="8">
        <v>23</v>
      </c>
      <c r="B24" s="8">
        <v>25.749318799999998</v>
      </c>
      <c r="C24" s="8">
        <v>0.40935615722288876</v>
      </c>
      <c r="D24" s="8">
        <v>1</v>
      </c>
    </row>
    <row r="25" spans="1:4" x14ac:dyDescent="0.45">
      <c r="A25" s="8">
        <v>24</v>
      </c>
      <c r="B25" s="8">
        <v>17.45299752</v>
      </c>
      <c r="C25" s="8">
        <v>0.56247590377753809</v>
      </c>
      <c r="D25" s="8">
        <v>1</v>
      </c>
    </row>
    <row r="26" spans="1:4" x14ac:dyDescent="0.45">
      <c r="A26" s="8">
        <v>25</v>
      </c>
      <c r="B26" s="8">
        <v>0</v>
      </c>
      <c r="C26" s="8">
        <v>0</v>
      </c>
      <c r="D26" s="8">
        <v>0</v>
      </c>
    </row>
    <row r="27" spans="1:4" x14ac:dyDescent="0.45">
      <c r="A27" s="8">
        <v>26</v>
      </c>
      <c r="B27" s="8">
        <v>0</v>
      </c>
      <c r="C27" s="8">
        <v>0</v>
      </c>
      <c r="D27" s="8">
        <v>0</v>
      </c>
    </row>
    <row r="28" spans="1:4" x14ac:dyDescent="0.45">
      <c r="A28" s="8">
        <v>27</v>
      </c>
      <c r="B28" s="8">
        <v>31.766696739376272</v>
      </c>
      <c r="C28" s="8">
        <v>0.31767949933409412</v>
      </c>
      <c r="D28" s="8">
        <v>1</v>
      </c>
    </row>
    <row r="29" spans="1:4" x14ac:dyDescent="0.45">
      <c r="A29" s="8">
        <v>28</v>
      </c>
      <c r="B29" s="8">
        <v>21.043108744359017</v>
      </c>
      <c r="C29" s="8">
        <v>0.49223231533148448</v>
      </c>
      <c r="D29" s="8">
        <v>1</v>
      </c>
    </row>
    <row r="30" spans="1:4" x14ac:dyDescent="0.45">
      <c r="A30" s="8">
        <v>29</v>
      </c>
      <c r="B30" s="8">
        <v>0</v>
      </c>
      <c r="C30" s="8">
        <v>1</v>
      </c>
      <c r="D30" s="8">
        <v>0</v>
      </c>
    </row>
    <row r="31" spans="1:4" x14ac:dyDescent="0.45">
      <c r="A31" s="8">
        <v>30</v>
      </c>
      <c r="B31" s="8">
        <v>0</v>
      </c>
      <c r="C31" s="8">
        <v>0</v>
      </c>
      <c r="D31" s="8">
        <v>0</v>
      </c>
    </row>
    <row r="32" spans="1:4" x14ac:dyDescent="0.45">
      <c r="A32" s="8">
        <v>31</v>
      </c>
      <c r="B32" s="8">
        <v>0</v>
      </c>
      <c r="C32" s="8">
        <v>0</v>
      </c>
      <c r="D32" s="8">
        <v>0</v>
      </c>
    </row>
    <row r="33" spans="1:4" x14ac:dyDescent="0.45">
      <c r="A33" s="8">
        <v>32</v>
      </c>
      <c r="B33" s="8">
        <v>32.889779500364853</v>
      </c>
      <c r="C33" s="8">
        <v>0.30224978266787333</v>
      </c>
      <c r="D33" s="8">
        <v>1</v>
      </c>
    </row>
    <row r="34" spans="1:4" x14ac:dyDescent="0.45">
      <c r="A34" s="8">
        <v>33</v>
      </c>
      <c r="B34" s="8">
        <v>31.632186724269353</v>
      </c>
      <c r="C34" s="8">
        <v>0.31956195398872916</v>
      </c>
      <c r="D34" s="8">
        <v>1</v>
      </c>
    </row>
    <row r="35" spans="1:4" x14ac:dyDescent="0.45">
      <c r="A35" s="8">
        <v>34</v>
      </c>
      <c r="B35" s="8">
        <v>27.723170969272413</v>
      </c>
      <c r="C35" s="8">
        <v>0.37756981931192457</v>
      </c>
      <c r="D35" s="8">
        <v>1</v>
      </c>
    </row>
    <row r="36" spans="1:4" x14ac:dyDescent="0.45">
      <c r="A36" s="8">
        <v>35</v>
      </c>
      <c r="B36" s="8">
        <v>25.753664256945441</v>
      </c>
      <c r="C36" s="8">
        <v>0.409284289783097</v>
      </c>
      <c r="D36" s="8">
        <v>1</v>
      </c>
    </row>
    <row r="37" spans="1:4" x14ac:dyDescent="0.45">
      <c r="A37" s="8">
        <v>36</v>
      </c>
      <c r="B37" s="8">
        <v>0</v>
      </c>
      <c r="C37" s="8">
        <v>0</v>
      </c>
      <c r="D37" s="8">
        <v>0</v>
      </c>
    </row>
    <row r="38" spans="1:4" x14ac:dyDescent="0.45">
      <c r="A38" s="8">
        <v>37</v>
      </c>
      <c r="B38" s="8">
        <v>87.474161039159128</v>
      </c>
      <c r="C38" s="8">
        <v>1.9652620670917408E-3</v>
      </c>
      <c r="D38" s="8">
        <v>1</v>
      </c>
    </row>
    <row r="39" spans="1:4" x14ac:dyDescent="0.45">
      <c r="A39" s="8">
        <v>38</v>
      </c>
      <c r="B39" s="8">
        <v>60.103994438842911</v>
      </c>
      <c r="C39" s="8">
        <v>6.3502123350067691E-2</v>
      </c>
      <c r="D39" s="8">
        <v>1</v>
      </c>
    </row>
    <row r="40" spans="1:4" x14ac:dyDescent="0.45">
      <c r="A40" s="8">
        <v>39</v>
      </c>
      <c r="B40" s="8">
        <v>0</v>
      </c>
      <c r="C40" s="8">
        <v>0</v>
      </c>
      <c r="D40" s="8">
        <v>0</v>
      </c>
    </row>
    <row r="41" spans="1:4" x14ac:dyDescent="0.45">
      <c r="A41" s="8">
        <v>40</v>
      </c>
      <c r="B41" s="8">
        <v>15.058250660558624</v>
      </c>
      <c r="C41" s="8">
        <v>0.61286328198530038</v>
      </c>
      <c r="D41" s="8">
        <v>1</v>
      </c>
    </row>
    <row r="42" spans="1:4" x14ac:dyDescent="0.45">
      <c r="A42" s="8">
        <v>41</v>
      </c>
      <c r="B42" s="8">
        <v>11.459402781060179</v>
      </c>
      <c r="C42" s="8">
        <v>0.69410846535066018</v>
      </c>
      <c r="D42" s="8">
        <v>1</v>
      </c>
    </row>
    <row r="43" spans="1:4" x14ac:dyDescent="0.45">
      <c r="A43" s="8">
        <v>42</v>
      </c>
      <c r="B43" s="8">
        <v>18.818240144931739</v>
      </c>
      <c r="C43" s="8">
        <v>0.53502661313675848</v>
      </c>
      <c r="D43" s="8">
        <v>1</v>
      </c>
    </row>
    <row r="44" spans="1:4" x14ac:dyDescent="0.45">
      <c r="A44" s="8">
        <v>43</v>
      </c>
      <c r="B44" s="8">
        <v>13.407001491352858</v>
      </c>
      <c r="C44" s="8">
        <v>0.64930438442181104</v>
      </c>
      <c r="D44" s="8">
        <v>1</v>
      </c>
    </row>
    <row r="45" spans="1:4" x14ac:dyDescent="0.45">
      <c r="A45" s="8">
        <v>44</v>
      </c>
      <c r="B45" s="8">
        <v>32.563425638226583</v>
      </c>
      <c r="C45" s="8">
        <v>0.30668074017168684</v>
      </c>
      <c r="D45" s="8">
        <v>1</v>
      </c>
    </row>
    <row r="46" spans="1:4" x14ac:dyDescent="0.45">
      <c r="A46" s="8">
        <v>45</v>
      </c>
      <c r="B46" s="8">
        <v>6.110198857952911</v>
      </c>
      <c r="C46" s="8">
        <v>0.82766627188345165</v>
      </c>
      <c r="D46" s="8">
        <v>1</v>
      </c>
    </row>
    <row r="47" spans="1:4" x14ac:dyDescent="0.45">
      <c r="A47" s="8">
        <v>46</v>
      </c>
      <c r="B47" s="8">
        <v>0</v>
      </c>
      <c r="C47" s="8">
        <v>1</v>
      </c>
      <c r="D47" s="8">
        <v>0</v>
      </c>
    </row>
    <row r="48" spans="1:4" x14ac:dyDescent="0.45">
      <c r="A48" s="8">
        <v>47</v>
      </c>
      <c r="B48" s="8">
        <v>0</v>
      </c>
      <c r="C48" s="8">
        <v>0</v>
      </c>
      <c r="D48" s="8">
        <v>0</v>
      </c>
    </row>
    <row r="49" spans="1:4" x14ac:dyDescent="0.45">
      <c r="A49" s="8">
        <v>48</v>
      </c>
      <c r="B49" s="8">
        <v>0</v>
      </c>
      <c r="C49" s="8">
        <v>0</v>
      </c>
      <c r="D49" s="8">
        <v>0</v>
      </c>
    </row>
    <row r="50" spans="1:4" x14ac:dyDescent="0.45">
      <c r="A50" s="8">
        <v>49</v>
      </c>
      <c r="B50" s="8">
        <v>0</v>
      </c>
      <c r="C50" s="8">
        <v>0</v>
      </c>
      <c r="D50" s="8">
        <v>0</v>
      </c>
    </row>
    <row r="51" spans="1:4" x14ac:dyDescent="0.45">
      <c r="A51" s="8">
        <v>50</v>
      </c>
      <c r="B51" s="8">
        <v>0</v>
      </c>
      <c r="C51" s="8">
        <v>0</v>
      </c>
      <c r="D51" s="8">
        <v>0</v>
      </c>
    </row>
    <row r="52" spans="1:4" x14ac:dyDescent="0.45">
      <c r="A52" s="8">
        <v>51</v>
      </c>
      <c r="B52" s="8">
        <v>0</v>
      </c>
      <c r="C52" s="8">
        <v>1</v>
      </c>
      <c r="D52" s="8">
        <v>0</v>
      </c>
    </row>
    <row r="53" spans="1:4" x14ac:dyDescent="0.45">
      <c r="A53" s="8">
        <v>52</v>
      </c>
      <c r="B53" s="8">
        <v>0</v>
      </c>
      <c r="C53" s="8">
        <v>1</v>
      </c>
      <c r="D53" s="8">
        <v>0</v>
      </c>
    </row>
    <row r="54" spans="1:4" x14ac:dyDescent="0.45">
      <c r="A54" s="8">
        <v>53</v>
      </c>
      <c r="B54" s="8">
        <v>0</v>
      </c>
      <c r="C54" s="8">
        <v>1</v>
      </c>
      <c r="D54" s="8">
        <v>0</v>
      </c>
    </row>
    <row r="55" spans="1:4" x14ac:dyDescent="0.45">
      <c r="A55" s="8">
        <v>54</v>
      </c>
      <c r="B55" s="8">
        <v>0</v>
      </c>
      <c r="C55" s="8">
        <v>1</v>
      </c>
      <c r="D55" s="8">
        <v>0</v>
      </c>
    </row>
    <row r="56" spans="1:4" x14ac:dyDescent="0.45">
      <c r="A56" s="8">
        <v>55</v>
      </c>
      <c r="B56" s="8">
        <v>0</v>
      </c>
      <c r="C56" s="8">
        <v>0</v>
      </c>
      <c r="D56" s="8">
        <v>0</v>
      </c>
    </row>
    <row r="57" spans="1:4" x14ac:dyDescent="0.45">
      <c r="A57" s="8">
        <v>56</v>
      </c>
      <c r="B57" s="8">
        <v>10.335426609329319</v>
      </c>
      <c r="C57" s="8">
        <v>0.72087947362687721</v>
      </c>
      <c r="D57" s="8">
        <v>1</v>
      </c>
    </row>
    <row r="58" spans="1:4" x14ac:dyDescent="0.45">
      <c r="A58" s="8">
        <v>57</v>
      </c>
      <c r="B58" s="8">
        <v>0</v>
      </c>
      <c r="C58" s="8">
        <v>0</v>
      </c>
      <c r="D58" s="8">
        <v>0</v>
      </c>
    </row>
    <row r="59" spans="1:4" x14ac:dyDescent="0.45">
      <c r="A59" s="8">
        <v>58</v>
      </c>
      <c r="B59" s="8">
        <v>38.144052379999998</v>
      </c>
      <c r="C59" s="8">
        <v>0.23667064466699847</v>
      </c>
      <c r="D59" s="8">
        <v>1</v>
      </c>
    </row>
    <row r="60" spans="1:4" x14ac:dyDescent="0.45">
      <c r="A60" s="8">
        <v>59</v>
      </c>
      <c r="B60" s="8">
        <v>72.438880459999993</v>
      </c>
      <c r="C60" s="8">
        <v>2.0935848371542078E-2</v>
      </c>
      <c r="D60" s="8">
        <v>1</v>
      </c>
    </row>
    <row r="61" spans="1:4" x14ac:dyDescent="0.45">
      <c r="A61" s="8">
        <v>60</v>
      </c>
      <c r="B61" s="8">
        <v>0</v>
      </c>
      <c r="C61" s="8">
        <v>0</v>
      </c>
      <c r="D61" s="8">
        <v>0</v>
      </c>
    </row>
    <row r="62" spans="1:4" x14ac:dyDescent="0.45">
      <c r="A62" s="8">
        <v>61</v>
      </c>
      <c r="B62" s="8">
        <v>0</v>
      </c>
      <c r="C62" s="8">
        <v>0</v>
      </c>
      <c r="D62" s="8">
        <v>0</v>
      </c>
    </row>
    <row r="63" spans="1:4" x14ac:dyDescent="0.45">
      <c r="A63" s="8">
        <v>62</v>
      </c>
      <c r="B63" s="8">
        <v>4.3131874339281078</v>
      </c>
      <c r="C63" s="8">
        <v>0.87610521198154334</v>
      </c>
      <c r="D63" s="8">
        <v>1</v>
      </c>
    </row>
    <row r="64" spans="1:4" x14ac:dyDescent="0.45">
      <c r="A64" s="8">
        <v>63</v>
      </c>
      <c r="B64" s="8">
        <v>4.4795172299999999</v>
      </c>
      <c r="C64" s="8">
        <v>0.87154441915718883</v>
      </c>
      <c r="D64" s="8">
        <v>1</v>
      </c>
    </row>
    <row r="65" spans="1:4" x14ac:dyDescent="0.45">
      <c r="A65" s="8">
        <v>64</v>
      </c>
      <c r="B65" s="8">
        <v>0</v>
      </c>
      <c r="C65" s="8">
        <v>1</v>
      </c>
      <c r="D65" s="8">
        <v>0</v>
      </c>
    </row>
    <row r="66" spans="1:4" x14ac:dyDescent="0.45">
      <c r="A66" s="8">
        <v>65</v>
      </c>
      <c r="B66" s="8">
        <v>0</v>
      </c>
      <c r="C66" s="8">
        <v>0</v>
      </c>
      <c r="D66" s="8">
        <v>0</v>
      </c>
    </row>
    <row r="67" spans="1:4" x14ac:dyDescent="0.45">
      <c r="A67" s="8">
        <v>66</v>
      </c>
      <c r="B67" s="8">
        <v>6.25926092</v>
      </c>
      <c r="C67" s="8">
        <v>0.8237304490814481</v>
      </c>
      <c r="D67" s="8">
        <v>1</v>
      </c>
    </row>
    <row r="68" spans="1:4" x14ac:dyDescent="0.45">
      <c r="A68" s="8">
        <v>67</v>
      </c>
      <c r="B68" s="8">
        <v>5.7001239199999993</v>
      </c>
      <c r="C68" s="8">
        <v>0.83855850113226182</v>
      </c>
      <c r="D68" s="8">
        <v>1</v>
      </c>
    </row>
    <row r="69" spans="1:4" x14ac:dyDescent="0.45">
      <c r="A69" s="8">
        <v>68</v>
      </c>
      <c r="B69" s="8">
        <v>0</v>
      </c>
      <c r="C69" s="8">
        <v>0</v>
      </c>
      <c r="D69" s="8">
        <v>0</v>
      </c>
    </row>
    <row r="70" spans="1:4" x14ac:dyDescent="0.45">
      <c r="A70" s="8">
        <v>69</v>
      </c>
      <c r="B70" s="8">
        <v>0</v>
      </c>
      <c r="C70" s="8">
        <v>0</v>
      </c>
      <c r="D70" s="8">
        <v>0</v>
      </c>
    </row>
    <row r="71" spans="1:4" x14ac:dyDescent="0.45">
      <c r="A71" s="8">
        <v>70</v>
      </c>
      <c r="B71" s="8">
        <v>14.945452123018697</v>
      </c>
      <c r="C71" s="8">
        <v>0.61530808414095051</v>
      </c>
      <c r="D71" s="8">
        <v>1</v>
      </c>
    </row>
    <row r="72" spans="1:4" x14ac:dyDescent="0.45">
      <c r="A72" s="8">
        <v>71</v>
      </c>
      <c r="B72" s="8">
        <v>25.731847554545435</v>
      </c>
      <c r="C72" s="8">
        <v>0.40964519072857486</v>
      </c>
      <c r="D72" s="8">
        <v>1</v>
      </c>
    </row>
    <row r="73" spans="1:4" x14ac:dyDescent="0.45">
      <c r="A73" s="8">
        <v>72</v>
      </c>
      <c r="B73" s="8">
        <v>0</v>
      </c>
      <c r="C73" s="8">
        <v>0</v>
      </c>
      <c r="D73" s="8">
        <v>0</v>
      </c>
    </row>
    <row r="74" spans="1:4" x14ac:dyDescent="0.45">
      <c r="A74" s="8">
        <v>73</v>
      </c>
      <c r="B74" s="8">
        <v>8.6447560109334098</v>
      </c>
      <c r="C74" s="8">
        <v>0.76243082338521861</v>
      </c>
      <c r="D74" s="8">
        <v>1</v>
      </c>
    </row>
    <row r="75" spans="1:4" x14ac:dyDescent="0.45">
      <c r="A75" s="8">
        <v>74</v>
      </c>
      <c r="B75" s="8">
        <v>59.837914609999999</v>
      </c>
      <c r="C75" s="8">
        <v>6.478116673109266E-2</v>
      </c>
      <c r="D75" s="8">
        <v>1</v>
      </c>
    </row>
    <row r="76" spans="1:4" x14ac:dyDescent="0.45">
      <c r="A76" s="8">
        <v>75</v>
      </c>
      <c r="B76" s="8">
        <v>29.81427175</v>
      </c>
      <c r="C76" s="8">
        <v>0.34573745562809088</v>
      </c>
      <c r="D76" s="8">
        <v>1</v>
      </c>
    </row>
    <row r="77" spans="1:4" x14ac:dyDescent="0.45">
      <c r="A77" s="8">
        <v>76</v>
      </c>
      <c r="B77" s="8">
        <v>0</v>
      </c>
      <c r="C77" s="8">
        <v>0</v>
      </c>
      <c r="D77" s="8">
        <v>0</v>
      </c>
    </row>
    <row r="78" spans="1:4" x14ac:dyDescent="0.45">
      <c r="A78" s="8">
        <v>77</v>
      </c>
      <c r="B78" s="8">
        <v>9.3955618459381309</v>
      </c>
      <c r="C78" s="8">
        <v>0.74378671125261542</v>
      </c>
      <c r="D78" s="8">
        <v>1</v>
      </c>
    </row>
    <row r="79" spans="1:4" x14ac:dyDescent="0.45">
      <c r="A79" s="8">
        <v>78</v>
      </c>
      <c r="B79" s="8">
        <v>12.098513487983809</v>
      </c>
      <c r="C79" s="8">
        <v>0.67918589578662703</v>
      </c>
      <c r="D79" s="8">
        <v>1</v>
      </c>
    </row>
    <row r="80" spans="1:4" x14ac:dyDescent="0.45">
      <c r="A80" s="8">
        <v>79</v>
      </c>
      <c r="B80" s="8">
        <v>0</v>
      </c>
      <c r="C80" s="8">
        <v>1</v>
      </c>
      <c r="D80" s="8">
        <v>0</v>
      </c>
    </row>
    <row r="81" spans="1:4" x14ac:dyDescent="0.45">
      <c r="A81" s="8">
        <v>80</v>
      </c>
      <c r="B81" s="8">
        <v>7.2478067473101806</v>
      </c>
      <c r="C81" s="8">
        <v>0.7979442759935198</v>
      </c>
      <c r="D81" s="8">
        <v>1</v>
      </c>
    </row>
    <row r="82" spans="1:4" x14ac:dyDescent="0.45">
      <c r="A82" s="8">
        <v>81</v>
      </c>
      <c r="B82" s="8">
        <v>0</v>
      </c>
      <c r="C82" s="8">
        <v>0</v>
      </c>
      <c r="D82" s="8">
        <v>0</v>
      </c>
    </row>
    <row r="83" spans="1:4" x14ac:dyDescent="0.45">
      <c r="A83" s="8">
        <v>82</v>
      </c>
      <c r="B83" s="8">
        <v>0</v>
      </c>
      <c r="C83" s="8">
        <v>0</v>
      </c>
      <c r="D83" s="8">
        <v>0</v>
      </c>
    </row>
    <row r="84" spans="1:4" x14ac:dyDescent="0.45">
      <c r="A84" s="8">
        <v>83</v>
      </c>
      <c r="B84" s="8">
        <v>17.001242556459264</v>
      </c>
      <c r="C84" s="8">
        <v>0.5717613204700972</v>
      </c>
      <c r="D84" s="8">
        <v>1</v>
      </c>
    </row>
    <row r="85" spans="1:4" x14ac:dyDescent="0.45">
      <c r="A85" s="8">
        <v>84</v>
      </c>
      <c r="B85" s="8">
        <v>2.9448752900000001</v>
      </c>
      <c r="C85" s="8">
        <v>0.91422988962817209</v>
      </c>
      <c r="D85" s="8">
        <v>1</v>
      </c>
    </row>
    <row r="86" spans="1:4" x14ac:dyDescent="0.45">
      <c r="A86" s="8">
        <v>85</v>
      </c>
      <c r="B86" s="8">
        <v>5.4622789300000001</v>
      </c>
      <c r="C86" s="8">
        <v>0.8449196041960062</v>
      </c>
      <c r="D86" s="8">
        <v>1</v>
      </c>
    </row>
    <row r="87" spans="1:4" x14ac:dyDescent="0.45">
      <c r="A87" s="8">
        <v>86</v>
      </c>
      <c r="B87" s="8">
        <v>0</v>
      </c>
      <c r="C87" s="8">
        <v>0</v>
      </c>
      <c r="D87" s="8">
        <v>0</v>
      </c>
    </row>
    <row r="88" spans="1:4" x14ac:dyDescent="0.45">
      <c r="A88" s="8">
        <v>87</v>
      </c>
      <c r="B88" s="8">
        <v>0</v>
      </c>
      <c r="C88" s="8">
        <v>0</v>
      </c>
      <c r="D88" s="8">
        <v>0</v>
      </c>
    </row>
    <row r="89" spans="1:4" x14ac:dyDescent="0.45">
      <c r="A89" s="8">
        <v>88</v>
      </c>
      <c r="B89" s="8">
        <v>0</v>
      </c>
      <c r="C89" s="8">
        <v>1</v>
      </c>
      <c r="D89" s="8">
        <v>0</v>
      </c>
    </row>
    <row r="90" spans="1:4" x14ac:dyDescent="0.45">
      <c r="A90" s="8">
        <v>89</v>
      </c>
      <c r="B90" s="8">
        <v>3.4518828500000001</v>
      </c>
      <c r="C90" s="8">
        <v>0.89997703216947222</v>
      </c>
      <c r="D90" s="8">
        <v>1</v>
      </c>
    </row>
    <row r="91" spans="1:4" x14ac:dyDescent="0.45">
      <c r="A91" s="8">
        <v>90</v>
      </c>
      <c r="B91" s="8">
        <v>0</v>
      </c>
      <c r="C91" s="8">
        <v>0</v>
      </c>
      <c r="D91" s="8">
        <v>0</v>
      </c>
    </row>
    <row r="92" spans="1:4" x14ac:dyDescent="0.45">
      <c r="A92" s="8">
        <v>91</v>
      </c>
      <c r="B92" s="8">
        <v>0</v>
      </c>
      <c r="C92" s="8">
        <v>1</v>
      </c>
      <c r="D92" s="8">
        <v>0</v>
      </c>
    </row>
    <row r="93" spans="1:4" x14ac:dyDescent="0.45">
      <c r="A93" s="8">
        <v>92</v>
      </c>
      <c r="B93" s="8">
        <v>7.9016221900000003</v>
      </c>
      <c r="C93" s="8">
        <v>0.7811886814850455</v>
      </c>
      <c r="D93" s="8">
        <v>1</v>
      </c>
    </row>
    <row r="94" spans="1:4" x14ac:dyDescent="0.45">
      <c r="A94" s="8">
        <v>93</v>
      </c>
      <c r="B94" s="8">
        <v>0</v>
      </c>
      <c r="C94" s="8">
        <v>1</v>
      </c>
      <c r="D94" s="8">
        <v>0</v>
      </c>
    </row>
    <row r="95" spans="1:4" x14ac:dyDescent="0.45">
      <c r="A95" s="8">
        <v>94</v>
      </c>
      <c r="B95" s="8">
        <v>8.1566446500000005</v>
      </c>
      <c r="C95" s="8">
        <v>0.77471724756632376</v>
      </c>
      <c r="D95" s="8">
        <v>1</v>
      </c>
    </row>
    <row r="96" spans="1:4" x14ac:dyDescent="0.45">
      <c r="A96" s="8">
        <v>95</v>
      </c>
      <c r="B96" s="8">
        <v>0</v>
      </c>
      <c r="C96" s="8">
        <v>0</v>
      </c>
      <c r="D96" s="8">
        <v>0</v>
      </c>
    </row>
    <row r="97" spans="1:4" x14ac:dyDescent="0.45">
      <c r="A97" s="8">
        <v>96</v>
      </c>
      <c r="B97" s="8">
        <v>0</v>
      </c>
      <c r="C97" s="8">
        <v>0</v>
      </c>
      <c r="D97" s="8">
        <v>0</v>
      </c>
    </row>
    <row r="98" spans="1:4" x14ac:dyDescent="0.45">
      <c r="A98" s="8">
        <v>97</v>
      </c>
      <c r="B98" s="8">
        <v>40.653516895729652</v>
      </c>
      <c r="C98" s="8">
        <v>0.20901861359923304</v>
      </c>
      <c r="D98" s="8">
        <v>1</v>
      </c>
    </row>
    <row r="99" spans="1:4" x14ac:dyDescent="0.45">
      <c r="A99" s="8">
        <v>98</v>
      </c>
      <c r="B99" s="8">
        <v>24.555991727702946</v>
      </c>
      <c r="C99" s="8">
        <v>0.42941208438110962</v>
      </c>
      <c r="D99" s="8">
        <v>1</v>
      </c>
    </row>
    <row r="100" spans="1:4" x14ac:dyDescent="0.45">
      <c r="A100" s="8">
        <v>99</v>
      </c>
      <c r="B100" s="8">
        <v>0</v>
      </c>
      <c r="C100" s="8">
        <v>1</v>
      </c>
      <c r="D100" s="8">
        <v>0</v>
      </c>
    </row>
    <row r="101" spans="1:4" x14ac:dyDescent="0.45">
      <c r="A101" s="8">
        <v>100</v>
      </c>
      <c r="B101" s="8">
        <v>0</v>
      </c>
      <c r="C101" s="8">
        <v>0</v>
      </c>
      <c r="D101" s="8">
        <v>0</v>
      </c>
    </row>
    <row r="102" spans="1:4" x14ac:dyDescent="0.45">
      <c r="A102" s="8">
        <v>101</v>
      </c>
      <c r="B102" s="8">
        <v>5.8770046306257111</v>
      </c>
      <c r="C102" s="8">
        <v>0.83384862916880065</v>
      </c>
      <c r="D102" s="8">
        <v>1</v>
      </c>
    </row>
    <row r="103" spans="1:4" x14ac:dyDescent="0.45">
      <c r="A103" s="8">
        <v>102</v>
      </c>
      <c r="B103" s="8">
        <v>6.9099003199999993</v>
      </c>
      <c r="C103" s="8">
        <v>0.80669708203708679</v>
      </c>
      <c r="D103" s="8">
        <v>1</v>
      </c>
    </row>
    <row r="104" spans="1:4" x14ac:dyDescent="0.45">
      <c r="A104" s="8">
        <v>103</v>
      </c>
      <c r="B104" s="8">
        <v>9.1593567299999989</v>
      </c>
      <c r="C104" s="8">
        <v>0.74961902942671399</v>
      </c>
      <c r="D104" s="8">
        <v>1</v>
      </c>
    </row>
    <row r="105" spans="1:4" x14ac:dyDescent="0.45">
      <c r="A105" s="8">
        <v>104</v>
      </c>
      <c r="B105" s="8">
        <v>5.3025102035991409</v>
      </c>
      <c r="C105" s="8">
        <v>0.84921058959474671</v>
      </c>
      <c r="D105" s="8">
        <v>1</v>
      </c>
    </row>
    <row r="106" spans="1:4" x14ac:dyDescent="0.45">
      <c r="A106" s="8">
        <v>105</v>
      </c>
      <c r="B106" s="8">
        <v>3.2261161102264331</v>
      </c>
      <c r="C106" s="8">
        <v>0.90630528738779559</v>
      </c>
      <c r="D106" s="8">
        <v>1</v>
      </c>
    </row>
    <row r="107" spans="1:4" x14ac:dyDescent="0.45">
      <c r="A107" s="8">
        <v>106</v>
      </c>
      <c r="B107" s="8">
        <v>2.7600849300000001</v>
      </c>
      <c r="C107" s="8">
        <v>0.91946184622929605</v>
      </c>
      <c r="D107" s="8">
        <v>1</v>
      </c>
    </row>
    <row r="108" spans="1:4" x14ac:dyDescent="0.45">
      <c r="A108" s="8">
        <v>107</v>
      </c>
      <c r="B108" s="8">
        <v>7.1207341482532565</v>
      </c>
      <c r="C108" s="8">
        <v>0.80122837620430376</v>
      </c>
      <c r="D108" s="8">
        <v>1</v>
      </c>
    </row>
    <row r="109" spans="1:4" x14ac:dyDescent="0.45">
      <c r="A109" s="8">
        <v>108</v>
      </c>
      <c r="B109" s="8">
        <v>0</v>
      </c>
      <c r="C109" s="8">
        <v>0</v>
      </c>
      <c r="D109" s="8">
        <v>0</v>
      </c>
    </row>
    <row r="110" spans="1:4" x14ac:dyDescent="0.45">
      <c r="A110" s="8">
        <v>109</v>
      </c>
      <c r="B110" s="8">
        <v>0</v>
      </c>
      <c r="C110" s="8">
        <v>1</v>
      </c>
      <c r="D110" s="8">
        <v>0</v>
      </c>
    </row>
    <row r="111" spans="1:4" x14ac:dyDescent="0.45">
      <c r="A111" s="8">
        <v>110</v>
      </c>
      <c r="B111" s="8">
        <v>0</v>
      </c>
      <c r="C111" s="8">
        <v>1</v>
      </c>
      <c r="D111" s="8">
        <v>0</v>
      </c>
    </row>
    <row r="112" spans="1:4" x14ac:dyDescent="0.45">
      <c r="A112" s="8">
        <v>111</v>
      </c>
      <c r="B112" s="8">
        <v>0</v>
      </c>
      <c r="C112" s="8">
        <v>1</v>
      </c>
      <c r="D112" s="8">
        <v>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5DF0-842E-4693-8080-9A74A29A5278}">
  <dimension ref="A1:F74"/>
  <sheetViews>
    <sheetView workbookViewId="0">
      <pane xSplit="3" ySplit="1" topLeftCell="D2" activePane="bottomRight" state="frozen"/>
      <selection pane="topRight" activeCell="D1" sqref="D1"/>
      <selection pane="bottomLeft" activeCell="A3" sqref="A3"/>
      <selection pane="bottomRight" activeCell="C2" sqref="C2"/>
    </sheetView>
  </sheetViews>
  <sheetFormatPr defaultRowHeight="13.2" x14ac:dyDescent="0.45"/>
  <cols>
    <col min="1" max="2" width="8.796875" style="8"/>
    <col min="3" max="3" width="52.796875" style="8" customWidth="1"/>
    <col min="4" max="4" width="10.59765625" style="13" customWidth="1"/>
    <col min="5" max="5" width="13.8984375" style="8" customWidth="1"/>
    <col min="6" max="6" width="14.19921875" style="8" customWidth="1"/>
    <col min="7" max="16384" width="8.796875" style="8"/>
  </cols>
  <sheetData>
    <row r="1" spans="1:6" ht="39.6" customHeight="1" x14ac:dyDescent="0.45">
      <c r="B1" s="8" t="s">
        <v>644</v>
      </c>
      <c r="C1" s="8" t="s">
        <v>645</v>
      </c>
      <c r="D1" s="11" t="s">
        <v>791</v>
      </c>
      <c r="E1" s="11" t="s">
        <v>792</v>
      </c>
      <c r="F1" s="11" t="s">
        <v>790</v>
      </c>
    </row>
    <row r="2" spans="1:6" x14ac:dyDescent="0.45">
      <c r="A2" s="8">
        <v>1</v>
      </c>
      <c r="B2" s="8" t="s">
        <v>646</v>
      </c>
      <c r="C2" s="8" t="s">
        <v>647</v>
      </c>
      <c r="D2" s="13">
        <v>25.380868506620555</v>
      </c>
      <c r="E2" s="8">
        <v>0.41548042738603091</v>
      </c>
      <c r="F2" s="8">
        <v>1.0271542454217962E-2</v>
      </c>
    </row>
    <row r="3" spans="1:6" x14ac:dyDescent="0.45">
      <c r="A3" s="8">
        <v>2</v>
      </c>
      <c r="B3" s="8" t="s">
        <v>648</v>
      </c>
      <c r="C3" s="8" t="s">
        <v>649</v>
      </c>
      <c r="D3" s="13">
        <v>17.56500308530234</v>
      </c>
      <c r="E3" s="8">
        <v>0.56018938876409063</v>
      </c>
      <c r="F3" s="8">
        <v>1.1479130296583818E-3</v>
      </c>
    </row>
    <row r="4" spans="1:6" x14ac:dyDescent="0.45">
      <c r="A4" s="8">
        <v>3</v>
      </c>
      <c r="B4" s="8" t="s">
        <v>650</v>
      </c>
      <c r="C4" s="8" t="s">
        <v>651</v>
      </c>
      <c r="D4" s="13">
        <v>0</v>
      </c>
      <c r="E4" s="8">
        <v>1</v>
      </c>
      <c r="F4" s="8">
        <v>0</v>
      </c>
    </row>
    <row r="5" spans="1:6" x14ac:dyDescent="0.45">
      <c r="A5" s="8">
        <v>4</v>
      </c>
      <c r="B5" s="8" t="s">
        <v>652</v>
      </c>
      <c r="C5" s="8" t="s">
        <v>653</v>
      </c>
      <c r="D5" s="13">
        <v>38.784947894583098</v>
      </c>
      <c r="E5" s="8">
        <v>0.22939009987404343</v>
      </c>
      <c r="F5" s="8">
        <v>6.9845263333185067E-6</v>
      </c>
    </row>
    <row r="6" spans="1:6" x14ac:dyDescent="0.45">
      <c r="A6" s="8">
        <v>5</v>
      </c>
      <c r="B6" s="8" t="s">
        <v>654</v>
      </c>
      <c r="C6" s="8" t="s">
        <v>655</v>
      </c>
      <c r="D6" s="13">
        <v>0</v>
      </c>
      <c r="E6" s="8">
        <v>1</v>
      </c>
      <c r="F6" s="8">
        <v>0</v>
      </c>
    </row>
    <row r="7" spans="1:6" x14ac:dyDescent="0.45">
      <c r="A7" s="8">
        <v>6</v>
      </c>
      <c r="B7" s="8" t="s">
        <v>656</v>
      </c>
      <c r="C7" s="8" t="s">
        <v>657</v>
      </c>
      <c r="D7" s="13">
        <v>40.254401665626268</v>
      </c>
      <c r="E7" s="8">
        <v>0.21326409518365302</v>
      </c>
      <c r="F7" s="8">
        <v>3.4973974061919905E-2</v>
      </c>
    </row>
    <row r="8" spans="1:6" x14ac:dyDescent="0.45">
      <c r="A8" s="8">
        <v>7</v>
      </c>
      <c r="B8" s="8" t="s">
        <v>658</v>
      </c>
      <c r="C8" s="8" t="s">
        <v>659</v>
      </c>
      <c r="D8" s="13">
        <v>0</v>
      </c>
      <c r="E8" s="8">
        <v>1</v>
      </c>
      <c r="F8" s="8">
        <v>0</v>
      </c>
    </row>
    <row r="9" spans="1:6" x14ac:dyDescent="0.45">
      <c r="A9" s="8">
        <v>8</v>
      </c>
      <c r="B9" s="8" t="s">
        <v>660</v>
      </c>
      <c r="C9" s="8" t="s">
        <v>661</v>
      </c>
      <c r="D9" s="13">
        <v>24.395098891022002</v>
      </c>
      <c r="E9" s="8">
        <v>0.43216525625467628</v>
      </c>
      <c r="F9" s="8">
        <v>6.6879903030267387E-4</v>
      </c>
    </row>
    <row r="10" spans="1:6" x14ac:dyDescent="0.45">
      <c r="A10" s="8">
        <v>9</v>
      </c>
      <c r="B10" s="8" t="s">
        <v>662</v>
      </c>
      <c r="C10" s="8" t="s">
        <v>663</v>
      </c>
      <c r="D10" s="13">
        <v>13.491004947665017</v>
      </c>
      <c r="E10" s="8">
        <v>0.64741655568812384</v>
      </c>
      <c r="F10" s="8">
        <v>1.2695908305177727E-3</v>
      </c>
    </row>
    <row r="11" spans="1:6" x14ac:dyDescent="0.45">
      <c r="A11" s="8">
        <v>10</v>
      </c>
      <c r="B11" s="8" t="s">
        <v>664</v>
      </c>
      <c r="C11" s="8" t="s">
        <v>665</v>
      </c>
      <c r="D11" s="13">
        <v>19.555643089773913</v>
      </c>
      <c r="E11" s="8">
        <v>0.52057912915125393</v>
      </c>
      <c r="F11" s="8">
        <v>6.5556519093428093E-5</v>
      </c>
    </row>
    <row r="12" spans="1:6" x14ac:dyDescent="0.45">
      <c r="A12" s="8">
        <v>11</v>
      </c>
      <c r="B12" s="8" t="s">
        <v>666</v>
      </c>
      <c r="C12" s="8" t="s">
        <v>667</v>
      </c>
      <c r="D12" s="13">
        <v>15.397423962367563</v>
      </c>
      <c r="E12" s="8">
        <v>0.60555104902473034</v>
      </c>
      <c r="F12" s="8">
        <v>2.1824806758374725E-3</v>
      </c>
    </row>
    <row r="13" spans="1:6" x14ac:dyDescent="0.45">
      <c r="A13" s="8">
        <v>12</v>
      </c>
      <c r="B13" s="8" t="s">
        <v>668</v>
      </c>
      <c r="C13" s="8" t="s">
        <v>669</v>
      </c>
      <c r="D13" s="13">
        <v>19.927934040296897</v>
      </c>
      <c r="E13" s="8">
        <v>0.51338491324118596</v>
      </c>
      <c r="F13" s="8">
        <v>9.4634205038980396E-4</v>
      </c>
    </row>
    <row r="14" spans="1:6" x14ac:dyDescent="0.45">
      <c r="A14" s="8">
        <v>13</v>
      </c>
      <c r="B14" s="8" t="s">
        <v>670</v>
      </c>
      <c r="C14" s="8" t="s">
        <v>671</v>
      </c>
      <c r="D14" s="13">
        <v>21.336881770201455</v>
      </c>
      <c r="E14" s="8">
        <v>0.48675842135455405</v>
      </c>
      <c r="F14" s="8">
        <v>1.1641367364396341E-2</v>
      </c>
    </row>
    <row r="15" spans="1:6" x14ac:dyDescent="0.45">
      <c r="A15" s="8">
        <v>14</v>
      </c>
      <c r="B15" s="8" t="s">
        <v>672</v>
      </c>
      <c r="C15" s="8" t="s">
        <v>673</v>
      </c>
      <c r="D15" s="13">
        <v>24.883345003799441</v>
      </c>
      <c r="E15" s="8">
        <v>0.4238466165357021</v>
      </c>
      <c r="F15" s="8">
        <v>5.099807043269876E-3</v>
      </c>
    </row>
    <row r="16" spans="1:6" x14ac:dyDescent="0.45">
      <c r="A16" s="8">
        <v>15</v>
      </c>
      <c r="B16" s="8" t="s">
        <v>674</v>
      </c>
      <c r="C16" s="8" t="s">
        <v>675</v>
      </c>
      <c r="D16" s="13">
        <v>19.178030608392191</v>
      </c>
      <c r="E16" s="8">
        <v>0.52794451975245305</v>
      </c>
      <c r="F16" s="8">
        <v>2.9855541615094516E-2</v>
      </c>
    </row>
    <row r="17" spans="1:6" x14ac:dyDescent="0.45">
      <c r="A17" s="8">
        <v>16</v>
      </c>
      <c r="B17" s="8" t="s">
        <v>676</v>
      </c>
      <c r="C17" s="8" t="s">
        <v>677</v>
      </c>
      <c r="D17" s="13">
        <v>13.443227989979805</v>
      </c>
      <c r="E17" s="8">
        <v>0.64848980868326145</v>
      </c>
      <c r="F17" s="8">
        <v>2.5520478937548167E-3</v>
      </c>
    </row>
    <row r="18" spans="1:6" x14ac:dyDescent="0.45">
      <c r="A18" s="8">
        <v>17</v>
      </c>
      <c r="B18" s="8" t="s">
        <v>678</v>
      </c>
      <c r="C18" s="8" t="s">
        <v>679</v>
      </c>
      <c r="D18" s="13">
        <v>22.612572676910037</v>
      </c>
      <c r="E18" s="8">
        <v>0.46345890103260184</v>
      </c>
      <c r="F18" s="8">
        <v>6.9627150054706001E-3</v>
      </c>
    </row>
    <row r="19" spans="1:6" x14ac:dyDescent="0.45">
      <c r="A19" s="8">
        <v>18</v>
      </c>
      <c r="B19" s="8" t="s">
        <v>680</v>
      </c>
      <c r="C19" s="8" t="s">
        <v>681</v>
      </c>
      <c r="D19" s="13">
        <v>14.6526098881819</v>
      </c>
      <c r="E19" s="8">
        <v>0.62168549596855394</v>
      </c>
      <c r="F19" s="8">
        <v>1.2277939545125984E-2</v>
      </c>
    </row>
    <row r="20" spans="1:6" x14ac:dyDescent="0.45">
      <c r="A20" s="8">
        <v>19</v>
      </c>
      <c r="B20" s="8" t="s">
        <v>682</v>
      </c>
      <c r="C20" s="8" t="s">
        <v>683</v>
      </c>
      <c r="D20" s="13">
        <v>29.069294741702137</v>
      </c>
      <c r="E20" s="8">
        <v>0.35686407806364312</v>
      </c>
      <c r="F20" s="8">
        <v>7.7347992506215921E-2</v>
      </c>
    </row>
    <row r="21" spans="1:6" x14ac:dyDescent="0.45">
      <c r="A21" s="8">
        <v>20</v>
      </c>
      <c r="B21" s="8" t="s">
        <v>684</v>
      </c>
      <c r="C21" s="8" t="s">
        <v>685</v>
      </c>
      <c r="D21" s="13">
        <v>20.645980253886453</v>
      </c>
      <c r="E21" s="8">
        <v>0.49969705928118313</v>
      </c>
      <c r="F21" s="8">
        <v>2.8450303931050716E-3</v>
      </c>
    </row>
    <row r="22" spans="1:6" x14ac:dyDescent="0.45">
      <c r="A22" s="8">
        <v>21</v>
      </c>
      <c r="B22" s="8" t="s">
        <v>686</v>
      </c>
      <c r="C22" s="8" t="s">
        <v>687</v>
      </c>
      <c r="D22" s="13">
        <v>30.145670240687632</v>
      </c>
      <c r="E22" s="8">
        <v>0.34086310053279018</v>
      </c>
      <c r="F22" s="8">
        <v>1.8436698808966711E-2</v>
      </c>
    </row>
    <row r="23" spans="1:6" x14ac:dyDescent="0.45">
      <c r="A23" s="8">
        <v>22</v>
      </c>
      <c r="B23" s="8" t="s">
        <v>688</v>
      </c>
      <c r="C23" s="8" t="s">
        <v>689</v>
      </c>
      <c r="D23" s="13">
        <v>18.207949407900824</v>
      </c>
      <c r="E23" s="8">
        <v>0.54718387331871399</v>
      </c>
      <c r="F23" s="8">
        <v>2.4340461593866458E-3</v>
      </c>
    </row>
    <row r="24" spans="1:6" x14ac:dyDescent="0.45">
      <c r="A24" s="8">
        <v>23</v>
      </c>
      <c r="B24" s="8" t="s">
        <v>690</v>
      </c>
      <c r="C24" s="8" t="s">
        <v>691</v>
      </c>
      <c r="D24" s="13">
        <v>9.2590154458828842</v>
      </c>
      <c r="E24" s="8">
        <v>0.74715457719817335</v>
      </c>
      <c r="F24" s="8">
        <v>6.5715815308047638E-4</v>
      </c>
    </row>
    <row r="25" spans="1:6" x14ac:dyDescent="0.45">
      <c r="A25" s="8">
        <v>24</v>
      </c>
      <c r="B25" s="8" t="s">
        <v>692</v>
      </c>
      <c r="C25" s="8" t="s">
        <v>693</v>
      </c>
      <c r="D25" s="13">
        <v>85.421961457924013</v>
      </c>
      <c r="E25" s="8">
        <v>3.0981132012813939E-3</v>
      </c>
      <c r="F25" s="8">
        <v>2.1643944287006688E-2</v>
      </c>
    </row>
    <row r="26" spans="1:6" x14ac:dyDescent="0.45">
      <c r="A26" s="8">
        <v>25</v>
      </c>
      <c r="B26" s="8" t="s">
        <v>694</v>
      </c>
      <c r="C26" s="8" t="s">
        <v>695</v>
      </c>
      <c r="D26" s="13">
        <v>15.089270158345061</v>
      </c>
      <c r="E26" s="8">
        <v>0.61219210074256114</v>
      </c>
      <c r="F26" s="8">
        <v>4.0191537768458546E-2</v>
      </c>
    </row>
    <row r="27" spans="1:6" x14ac:dyDescent="0.45">
      <c r="A27" s="8">
        <v>26</v>
      </c>
      <c r="B27" s="8" t="s">
        <v>696</v>
      </c>
      <c r="C27" s="8" t="s">
        <v>697</v>
      </c>
      <c r="D27" s="13">
        <v>19.055792799199473</v>
      </c>
      <c r="E27" s="8">
        <v>0.53034358657893854</v>
      </c>
      <c r="F27" s="8">
        <v>5.045156188100401E-3</v>
      </c>
    </row>
    <row r="28" spans="1:6" x14ac:dyDescent="0.45">
      <c r="A28" s="8">
        <v>27</v>
      </c>
      <c r="B28" s="8" t="s">
        <v>698</v>
      </c>
      <c r="C28" s="8" t="s">
        <v>699</v>
      </c>
      <c r="D28" s="13">
        <v>0</v>
      </c>
      <c r="E28" s="8">
        <v>1</v>
      </c>
      <c r="F28" s="8">
        <v>0</v>
      </c>
    </row>
    <row r="29" spans="1:6" x14ac:dyDescent="0.45">
      <c r="A29" s="8">
        <v>28</v>
      </c>
      <c r="B29" s="8" t="s">
        <v>700</v>
      </c>
      <c r="C29" s="8" t="s">
        <v>701</v>
      </c>
      <c r="D29" s="13">
        <v>0</v>
      </c>
      <c r="E29" s="8">
        <v>1</v>
      </c>
      <c r="F29" s="8">
        <v>0</v>
      </c>
    </row>
    <row r="30" spans="1:6" x14ac:dyDescent="0.45">
      <c r="A30" s="8">
        <v>29</v>
      </c>
      <c r="B30" s="8" t="s">
        <v>702</v>
      </c>
      <c r="C30" s="8" t="s">
        <v>703</v>
      </c>
      <c r="D30" s="13">
        <v>0</v>
      </c>
      <c r="E30" s="8">
        <v>1</v>
      </c>
      <c r="F30" s="8">
        <v>0</v>
      </c>
    </row>
    <row r="31" spans="1:6" x14ac:dyDescent="0.45">
      <c r="A31" s="8">
        <v>30</v>
      </c>
      <c r="B31" s="8" t="s">
        <v>704</v>
      </c>
      <c r="C31" s="8" t="s">
        <v>705</v>
      </c>
      <c r="D31" s="13">
        <v>0</v>
      </c>
      <c r="E31" s="8">
        <v>1</v>
      </c>
      <c r="F31" s="8">
        <v>0</v>
      </c>
    </row>
    <row r="32" spans="1:6" x14ac:dyDescent="0.45">
      <c r="A32" s="8">
        <v>31</v>
      </c>
      <c r="B32" s="8" t="s">
        <v>706</v>
      </c>
      <c r="C32" s="8" t="s">
        <v>707</v>
      </c>
      <c r="D32" s="13">
        <v>5.3025102035991409</v>
      </c>
      <c r="E32" s="8">
        <v>0.84921058959474671</v>
      </c>
      <c r="F32" s="8">
        <v>8.6154744999232329E-4</v>
      </c>
    </row>
    <row r="33" spans="1:6" x14ac:dyDescent="0.45">
      <c r="A33" s="8">
        <v>32</v>
      </c>
      <c r="B33" s="8" t="s">
        <v>708</v>
      </c>
      <c r="C33" s="8" t="s">
        <v>48</v>
      </c>
      <c r="D33" s="13">
        <v>59.657913483338319</v>
      </c>
      <c r="E33" s="8">
        <v>6.5656098094215548E-2</v>
      </c>
      <c r="F33" s="8">
        <v>1.4809401466529967E-2</v>
      </c>
    </row>
    <row r="34" spans="1:6" x14ac:dyDescent="0.45">
      <c r="A34" s="8">
        <v>33</v>
      </c>
      <c r="B34" s="8" t="s">
        <v>709</v>
      </c>
      <c r="C34" s="8" t="s">
        <v>710</v>
      </c>
      <c r="D34" s="13">
        <v>9.6243310545805141</v>
      </c>
      <c r="E34" s="8">
        <v>0.73816691272305279</v>
      </c>
      <c r="F34" s="8">
        <v>1.8711178440311159E-4</v>
      </c>
    </row>
    <row r="35" spans="1:6" x14ac:dyDescent="0.45">
      <c r="A35" s="8">
        <v>34</v>
      </c>
      <c r="B35" s="8" t="s">
        <v>711</v>
      </c>
      <c r="C35" s="8" t="s">
        <v>49</v>
      </c>
      <c r="D35" s="13">
        <v>29.772421058249428</v>
      </c>
      <c r="E35" s="8">
        <v>0.34635629858723477</v>
      </c>
      <c r="F35" s="8">
        <v>2.6577960731522529E-4</v>
      </c>
    </row>
    <row r="36" spans="1:6" x14ac:dyDescent="0.45">
      <c r="A36" s="8">
        <v>35</v>
      </c>
      <c r="B36" s="8" t="s">
        <v>712</v>
      </c>
      <c r="C36" s="8" t="s">
        <v>713</v>
      </c>
      <c r="D36" s="13">
        <v>7.1207341482532565</v>
      </c>
      <c r="E36" s="8">
        <v>0.80122837620430376</v>
      </c>
      <c r="F36" s="8">
        <v>1.5585296567276858E-3</v>
      </c>
    </row>
    <row r="37" spans="1:6" x14ac:dyDescent="0.45">
      <c r="A37" s="8">
        <v>36</v>
      </c>
      <c r="B37" s="8" t="s">
        <v>714</v>
      </c>
      <c r="C37" s="8" t="s">
        <v>715</v>
      </c>
      <c r="D37" s="13">
        <v>8.6447560109334098</v>
      </c>
      <c r="E37" s="8">
        <v>0.76243082338521861</v>
      </c>
      <c r="F37" s="8">
        <v>6.4115501028869743E-3</v>
      </c>
    </row>
    <row r="38" spans="1:6" x14ac:dyDescent="0.45">
      <c r="A38" s="8">
        <v>37</v>
      </c>
      <c r="B38" s="8" t="s">
        <v>716</v>
      </c>
      <c r="C38" s="8" t="s">
        <v>717</v>
      </c>
      <c r="D38" s="13">
        <v>0</v>
      </c>
      <c r="E38" s="8">
        <v>1</v>
      </c>
      <c r="F38" s="8">
        <v>0</v>
      </c>
    </row>
    <row r="39" spans="1:6" x14ac:dyDescent="0.45">
      <c r="A39" s="8">
        <v>38</v>
      </c>
      <c r="B39" s="8" t="s">
        <v>718</v>
      </c>
      <c r="C39" s="8" t="s">
        <v>719</v>
      </c>
      <c r="D39" s="13">
        <v>18.178482946637089</v>
      </c>
      <c r="E39" s="8">
        <v>0.54777547293056605</v>
      </c>
      <c r="F39" s="8">
        <v>3.1181621334027375E-3</v>
      </c>
    </row>
    <row r="40" spans="1:6" x14ac:dyDescent="0.45">
      <c r="A40" s="8">
        <v>39</v>
      </c>
      <c r="B40" s="8" t="s">
        <v>720</v>
      </c>
      <c r="C40" s="8" t="s">
        <v>721</v>
      </c>
      <c r="D40" s="13">
        <v>7.1207341482532565</v>
      </c>
      <c r="E40" s="8">
        <v>0.80122837620430376</v>
      </c>
      <c r="F40" s="8">
        <v>1.151834167249017E-5</v>
      </c>
    </row>
    <row r="41" spans="1:6" x14ac:dyDescent="0.45">
      <c r="A41" s="8">
        <v>40</v>
      </c>
      <c r="B41" s="8" t="s">
        <v>722</v>
      </c>
      <c r="C41" s="8" t="s">
        <v>723</v>
      </c>
      <c r="D41" s="13">
        <v>16.863224319544408</v>
      </c>
      <c r="E41" s="8">
        <v>0.57461840373582285</v>
      </c>
      <c r="F41" s="8">
        <v>1.1955180907196845E-2</v>
      </c>
    </row>
    <row r="42" spans="1:6" x14ac:dyDescent="0.45">
      <c r="A42" s="8">
        <v>41</v>
      </c>
      <c r="B42" s="8" t="s">
        <v>724</v>
      </c>
      <c r="C42" s="8" t="s">
        <v>725</v>
      </c>
      <c r="D42" s="13">
        <v>14.3327393234742</v>
      </c>
      <c r="E42" s="8">
        <v>0.62870170763937372</v>
      </c>
      <c r="F42" s="8">
        <v>3.0810338618414129E-3</v>
      </c>
    </row>
    <row r="43" spans="1:6" x14ac:dyDescent="0.45">
      <c r="A43" s="8">
        <v>42</v>
      </c>
      <c r="B43" s="8" t="s">
        <v>726</v>
      </c>
      <c r="C43" s="8" t="s">
        <v>727</v>
      </c>
      <c r="D43" s="13">
        <v>29.53995039652272</v>
      </c>
      <c r="E43" s="8">
        <v>0.34980727212251628</v>
      </c>
      <c r="F43" s="8">
        <v>3.1984351720160176E-2</v>
      </c>
    </row>
    <row r="44" spans="1:6" x14ac:dyDescent="0.45">
      <c r="A44" s="8">
        <v>43</v>
      </c>
      <c r="B44" s="8" t="s">
        <v>728</v>
      </c>
      <c r="C44" s="8" t="s">
        <v>729</v>
      </c>
      <c r="D44" s="13">
        <v>10.635719538297655</v>
      </c>
      <c r="E44" s="8">
        <v>0.71366087591956884</v>
      </c>
      <c r="F44" s="8">
        <v>9.4749388455705307E-3</v>
      </c>
    </row>
    <row r="45" spans="1:6" x14ac:dyDescent="0.45">
      <c r="A45" s="8">
        <v>44</v>
      </c>
      <c r="B45" s="8" t="s">
        <v>730</v>
      </c>
      <c r="C45" s="8" t="s">
        <v>731</v>
      </c>
      <c r="D45" s="13">
        <v>0</v>
      </c>
      <c r="E45" s="8">
        <v>1</v>
      </c>
      <c r="F45" s="8">
        <v>0</v>
      </c>
    </row>
    <row r="46" spans="1:6" x14ac:dyDescent="0.45">
      <c r="A46" s="8">
        <v>45</v>
      </c>
      <c r="B46" s="8" t="s">
        <v>732</v>
      </c>
      <c r="C46" s="8" t="s">
        <v>733</v>
      </c>
      <c r="D46" s="13">
        <v>3.4518828500000001</v>
      </c>
      <c r="E46" s="8">
        <v>0.89997703216947222</v>
      </c>
      <c r="F46" s="8">
        <v>3.0870013431121605E-2</v>
      </c>
    </row>
    <row r="47" spans="1:6" x14ac:dyDescent="0.45">
      <c r="A47" s="8">
        <v>46</v>
      </c>
      <c r="B47" s="8" t="s">
        <v>734</v>
      </c>
      <c r="C47" s="8" t="s">
        <v>735</v>
      </c>
      <c r="D47" s="13">
        <v>8.1266662473096343</v>
      </c>
      <c r="E47" s="8">
        <v>0.77547611685338302</v>
      </c>
      <c r="F47" s="8">
        <v>1.1526796625419975E-2</v>
      </c>
    </row>
    <row r="48" spans="1:6" x14ac:dyDescent="0.45">
      <c r="A48" s="8">
        <v>47</v>
      </c>
      <c r="B48" s="8" t="s">
        <v>736</v>
      </c>
      <c r="C48" s="8" t="s">
        <v>737</v>
      </c>
      <c r="D48" s="13">
        <v>0</v>
      </c>
      <c r="E48" s="8">
        <v>1</v>
      </c>
      <c r="F48" s="8">
        <v>0</v>
      </c>
    </row>
    <row r="49" spans="1:6" x14ac:dyDescent="0.45">
      <c r="A49" s="8">
        <v>48</v>
      </c>
      <c r="B49" s="8" t="s">
        <v>738</v>
      </c>
      <c r="C49" s="8" t="s">
        <v>739</v>
      </c>
      <c r="D49" s="13">
        <v>0</v>
      </c>
      <c r="E49" s="8">
        <v>1</v>
      </c>
      <c r="F49" s="8">
        <v>0</v>
      </c>
    </row>
    <row r="50" spans="1:6" x14ac:dyDescent="0.45">
      <c r="A50" s="8">
        <v>49</v>
      </c>
      <c r="B50" s="8" t="s">
        <v>740</v>
      </c>
      <c r="C50" s="8" t="s">
        <v>741</v>
      </c>
      <c r="D50" s="13">
        <v>7.1207341482532565</v>
      </c>
      <c r="E50" s="8">
        <v>0.80122837620430376</v>
      </c>
      <c r="F50" s="8">
        <v>8.2932060041929223E-4</v>
      </c>
    </row>
    <row r="51" spans="1:6" x14ac:dyDescent="0.45">
      <c r="A51" s="8">
        <v>50</v>
      </c>
      <c r="B51" s="8" t="s">
        <v>742</v>
      </c>
      <c r="C51" s="8" t="s">
        <v>743</v>
      </c>
      <c r="D51" s="13">
        <v>23.462054770821496</v>
      </c>
      <c r="E51" s="8">
        <v>0.44836365040039061</v>
      </c>
      <c r="F51" s="8">
        <v>1.4010837289087218E-2</v>
      </c>
    </row>
    <row r="52" spans="1:6" x14ac:dyDescent="0.45">
      <c r="A52" s="8">
        <v>51</v>
      </c>
      <c r="B52" s="8" t="s">
        <v>744</v>
      </c>
      <c r="C52" s="8" t="s">
        <v>745</v>
      </c>
      <c r="D52" s="13">
        <v>5.3025102035991409</v>
      </c>
      <c r="E52" s="8">
        <v>0.84921058959474671</v>
      </c>
      <c r="F52" s="8">
        <v>1.3618110852275187E-2</v>
      </c>
    </row>
    <row r="53" spans="1:6" x14ac:dyDescent="0.45">
      <c r="A53" s="8">
        <v>52</v>
      </c>
      <c r="B53" s="8" t="s">
        <v>746</v>
      </c>
      <c r="C53" s="8" t="s">
        <v>747</v>
      </c>
      <c r="D53" s="13">
        <v>0</v>
      </c>
      <c r="E53" s="8">
        <v>1</v>
      </c>
      <c r="F53" s="8">
        <v>0</v>
      </c>
    </row>
    <row r="54" spans="1:6" x14ac:dyDescent="0.45">
      <c r="A54" s="8">
        <v>53</v>
      </c>
      <c r="B54" s="8" t="s">
        <v>748</v>
      </c>
      <c r="C54" s="8" t="s">
        <v>749</v>
      </c>
      <c r="D54" s="13">
        <v>7.045875653790187</v>
      </c>
      <c r="E54" s="8">
        <v>0.80316725149115253</v>
      </c>
      <c r="F54" s="8">
        <v>8.9743811250160357E-3</v>
      </c>
    </row>
    <row r="55" spans="1:6" x14ac:dyDescent="0.45">
      <c r="A55" s="8">
        <v>54</v>
      </c>
      <c r="B55" s="8" t="s">
        <v>750</v>
      </c>
      <c r="C55" s="8" t="s">
        <v>751</v>
      </c>
      <c r="D55" s="13">
        <v>0</v>
      </c>
      <c r="E55" s="8">
        <v>1</v>
      </c>
      <c r="F55" s="8">
        <v>0</v>
      </c>
    </row>
    <row r="56" spans="1:6" x14ac:dyDescent="0.45">
      <c r="A56" s="8">
        <v>55</v>
      </c>
      <c r="B56" s="8" t="s">
        <v>752</v>
      </c>
      <c r="C56" s="8" t="s">
        <v>753</v>
      </c>
      <c r="D56" s="13">
        <v>7.4571986951746325</v>
      </c>
      <c r="E56" s="8">
        <v>0.79255228943824152</v>
      </c>
      <c r="F56" s="8">
        <v>9.1345350884835322E-3</v>
      </c>
    </row>
    <row r="57" spans="1:6" x14ac:dyDescent="0.45">
      <c r="A57" s="8">
        <v>56</v>
      </c>
      <c r="B57" s="8" t="s">
        <v>754</v>
      </c>
      <c r="C57" s="8" t="s">
        <v>755</v>
      </c>
      <c r="D57" s="13">
        <v>10.335426609329319</v>
      </c>
      <c r="E57" s="8">
        <v>0.72087947362687721</v>
      </c>
      <c r="F57" s="8">
        <v>3.5907817486239566E-3</v>
      </c>
    </row>
    <row r="58" spans="1:6" x14ac:dyDescent="0.45">
      <c r="A58" s="8">
        <v>57</v>
      </c>
      <c r="B58" s="8" t="s">
        <v>756</v>
      </c>
      <c r="C58" s="8" t="s">
        <v>757</v>
      </c>
      <c r="D58" s="13">
        <v>6.8343656956767314</v>
      </c>
      <c r="E58" s="8">
        <v>0.80866237212605974</v>
      </c>
      <c r="F58" s="8">
        <v>3.6971180986599878E-2</v>
      </c>
    </row>
    <row r="59" spans="1:6" x14ac:dyDescent="0.45">
      <c r="A59" s="8">
        <v>58</v>
      </c>
      <c r="B59" s="8" t="s">
        <v>758</v>
      </c>
      <c r="C59" s="8" t="s">
        <v>759</v>
      </c>
      <c r="D59" s="13">
        <v>4.4771532108944152</v>
      </c>
      <c r="E59" s="8">
        <v>0.87160912984300498</v>
      </c>
      <c r="F59" s="8">
        <v>9.0548257133989063E-2</v>
      </c>
    </row>
    <row r="60" spans="1:6" x14ac:dyDescent="0.45">
      <c r="A60" s="8">
        <v>59</v>
      </c>
      <c r="B60" s="8" t="s">
        <v>760</v>
      </c>
      <c r="C60" s="8" t="s">
        <v>761</v>
      </c>
      <c r="D60" s="13">
        <v>6.25926092</v>
      </c>
      <c r="E60" s="8">
        <v>0.8237304490814481</v>
      </c>
      <c r="F60" s="8">
        <v>0.13886978355443036</v>
      </c>
    </row>
    <row r="61" spans="1:6" x14ac:dyDescent="0.45">
      <c r="A61" s="8">
        <v>60</v>
      </c>
      <c r="B61" s="8" t="s">
        <v>762</v>
      </c>
      <c r="C61" s="8" t="s">
        <v>763</v>
      </c>
      <c r="D61" s="13">
        <v>5.0920291973858367</v>
      </c>
      <c r="E61" s="8">
        <v>0.85488572247270267</v>
      </c>
      <c r="F61" s="8">
        <v>3.0005280056836892E-2</v>
      </c>
    </row>
    <row r="62" spans="1:6" x14ac:dyDescent="0.45">
      <c r="A62" s="8">
        <v>61</v>
      </c>
      <c r="B62" s="8" t="s">
        <v>764</v>
      </c>
      <c r="C62" s="8" t="s">
        <v>765</v>
      </c>
      <c r="D62" s="13">
        <v>3.1854917344376998</v>
      </c>
      <c r="E62" s="8">
        <v>0.90744713092019058</v>
      </c>
      <c r="F62" s="8">
        <v>1.8168958632856166E-2</v>
      </c>
    </row>
    <row r="63" spans="1:6" x14ac:dyDescent="0.45">
      <c r="A63" s="8">
        <v>62</v>
      </c>
      <c r="B63" s="8" t="s">
        <v>766</v>
      </c>
      <c r="C63" s="8" t="s">
        <v>767</v>
      </c>
      <c r="D63" s="13">
        <v>9.4637551487495095</v>
      </c>
      <c r="E63" s="8">
        <v>0.74210854489310674</v>
      </c>
      <c r="F63" s="8">
        <v>8.1042561865442009E-3</v>
      </c>
    </row>
    <row r="64" spans="1:6" x14ac:dyDescent="0.45">
      <c r="A64" s="8">
        <v>63</v>
      </c>
      <c r="B64" s="8" t="s">
        <v>768</v>
      </c>
      <c r="C64" s="8" t="s">
        <v>769</v>
      </c>
      <c r="D64" s="13">
        <v>9.3955618459381309</v>
      </c>
      <c r="E64" s="8">
        <v>0.74378671125261542</v>
      </c>
      <c r="F64" s="8">
        <v>1.1827989006600623E-2</v>
      </c>
    </row>
    <row r="65" spans="1:6" x14ac:dyDescent="0.45">
      <c r="A65" s="8">
        <v>64</v>
      </c>
      <c r="B65" s="8" t="s">
        <v>770</v>
      </c>
      <c r="C65" s="8" t="s">
        <v>771</v>
      </c>
      <c r="D65" s="13">
        <v>5.7097556030198531</v>
      </c>
      <c r="E65" s="8">
        <v>0.83830157911627701</v>
      </c>
      <c r="F65" s="8">
        <v>2.0293725064781481E-2</v>
      </c>
    </row>
    <row r="66" spans="1:6" x14ac:dyDescent="0.45">
      <c r="A66" s="8">
        <v>65</v>
      </c>
      <c r="B66" s="8" t="s">
        <v>772</v>
      </c>
      <c r="C66" s="8" t="s">
        <v>773</v>
      </c>
      <c r="D66" s="13">
        <v>17.001242556459264</v>
      </c>
      <c r="E66" s="8">
        <v>0.5717613204700972</v>
      </c>
      <c r="F66" s="8">
        <v>0.10081367281072166</v>
      </c>
    </row>
    <row r="67" spans="1:6" x14ac:dyDescent="0.45">
      <c r="A67" s="8">
        <v>66</v>
      </c>
      <c r="B67" s="8" t="s">
        <v>774</v>
      </c>
      <c r="C67" s="8" t="s">
        <v>775</v>
      </c>
      <c r="D67" s="13">
        <v>8.7206320104903234</v>
      </c>
      <c r="E67" s="8">
        <v>0.76053266745435788</v>
      </c>
      <c r="F67" s="8">
        <v>6.1811342552172882E-2</v>
      </c>
    </row>
    <row r="68" spans="1:6" x14ac:dyDescent="0.45">
      <c r="A68" s="8">
        <v>67</v>
      </c>
      <c r="B68" s="8" t="s">
        <v>776</v>
      </c>
      <c r="C68" s="8" t="s">
        <v>777</v>
      </c>
      <c r="D68" s="13">
        <v>0</v>
      </c>
      <c r="E68" s="8">
        <v>1</v>
      </c>
      <c r="F68" s="8">
        <v>0</v>
      </c>
    </row>
    <row r="69" spans="1:6" x14ac:dyDescent="0.45">
      <c r="A69" s="8">
        <v>68</v>
      </c>
      <c r="B69" s="8" t="s">
        <v>778</v>
      </c>
      <c r="C69" s="8" t="s">
        <v>779</v>
      </c>
      <c r="D69" s="13">
        <v>0</v>
      </c>
      <c r="E69" s="8">
        <v>1</v>
      </c>
      <c r="F69" s="8">
        <v>0</v>
      </c>
    </row>
    <row r="70" spans="1:6" x14ac:dyDescent="0.45">
      <c r="A70" s="8">
        <v>69</v>
      </c>
      <c r="B70" s="8" t="s">
        <v>780</v>
      </c>
      <c r="C70" s="8" t="s">
        <v>781</v>
      </c>
      <c r="D70" s="13">
        <v>24.057275891351836</v>
      </c>
      <c r="E70" s="8">
        <v>0.43798427112708271</v>
      </c>
      <c r="F70" s="8">
        <v>7.3631611819141942E-4</v>
      </c>
    </row>
    <row r="71" spans="1:6" x14ac:dyDescent="0.45">
      <c r="A71" s="8">
        <v>70</v>
      </c>
      <c r="B71" s="8" t="s">
        <v>782</v>
      </c>
      <c r="C71" s="8" t="s">
        <v>783</v>
      </c>
      <c r="D71" s="13">
        <v>0</v>
      </c>
      <c r="E71" s="8">
        <v>1</v>
      </c>
      <c r="F71" s="8">
        <v>0</v>
      </c>
    </row>
    <row r="72" spans="1:6" x14ac:dyDescent="0.45">
      <c r="A72" s="8">
        <v>71</v>
      </c>
      <c r="B72" s="8" t="s">
        <v>784</v>
      </c>
      <c r="C72" s="8" t="s">
        <v>785</v>
      </c>
      <c r="D72" s="13">
        <v>14.67494592435775</v>
      </c>
      <c r="E72" s="8">
        <v>0.62119752477359214</v>
      </c>
      <c r="F72" s="8">
        <v>5.8473964320343704E-3</v>
      </c>
    </row>
    <row r="73" spans="1:6" x14ac:dyDescent="0.45">
      <c r="A73" s="8">
        <v>72</v>
      </c>
      <c r="B73" s="8" t="s">
        <v>786</v>
      </c>
      <c r="C73" s="8" t="s">
        <v>787</v>
      </c>
      <c r="D73" s="13">
        <v>98.762571112815877</v>
      </c>
      <c r="E73" s="8">
        <v>1.8947885453168025E-6</v>
      </c>
      <c r="F73" s="8">
        <v>1.1203792916391422E-2</v>
      </c>
    </row>
    <row r="74" spans="1:6" x14ac:dyDescent="0.45">
      <c r="A74" s="8">
        <v>73</v>
      </c>
      <c r="B74" s="8" t="s">
        <v>788</v>
      </c>
      <c r="C74" s="8" t="s">
        <v>789</v>
      </c>
      <c r="D74" s="13">
        <v>0</v>
      </c>
      <c r="E74" s="8">
        <v>1</v>
      </c>
      <c r="F74" s="8">
        <v>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15C2E-CE6C-4E4E-BF29-C1C80047E4B7}">
  <dimension ref="A1:C77"/>
  <sheetViews>
    <sheetView workbookViewId="0">
      <pane ySplit="1" topLeftCell="A2" activePane="bottomLeft" state="frozen"/>
      <selection pane="bottomLeft" activeCell="C14" sqref="C14"/>
    </sheetView>
  </sheetViews>
  <sheetFormatPr defaultRowHeight="13.8" x14ac:dyDescent="0.45"/>
  <cols>
    <col min="1" max="1" width="17.69921875" style="1" customWidth="1"/>
    <col min="2" max="2" width="18.3984375" style="1" customWidth="1"/>
    <col min="3" max="3" width="57.19921875" style="1" customWidth="1"/>
    <col min="4" max="16384" width="8.796875" style="1"/>
  </cols>
  <sheetData>
    <row r="1" spans="1:2" s="2" customFormat="1" x14ac:dyDescent="0.45">
      <c r="A1" s="2" t="s">
        <v>617</v>
      </c>
      <c r="B1" s="2" t="s">
        <v>616</v>
      </c>
    </row>
    <row r="2" spans="1:2" x14ac:dyDescent="0.45">
      <c r="A2" s="1">
        <v>5</v>
      </c>
      <c r="B2" s="1">
        <v>0.5225891196818</v>
      </c>
    </row>
    <row r="3" spans="1:2" x14ac:dyDescent="0.45">
      <c r="A3" s="1">
        <v>6</v>
      </c>
      <c r="B3" s="1">
        <v>0.92593111589429999</v>
      </c>
    </row>
    <row r="4" spans="1:2" x14ac:dyDescent="0.45">
      <c r="A4" s="1">
        <v>7</v>
      </c>
      <c r="B4" s="1">
        <v>0.49745225261999998</v>
      </c>
    </row>
    <row r="5" spans="1:2" x14ac:dyDescent="0.45">
      <c r="A5" s="1">
        <v>9</v>
      </c>
      <c r="B5" s="1">
        <v>0.46265312554457599</v>
      </c>
    </row>
    <row r="6" spans="1:2" x14ac:dyDescent="0.45">
      <c r="A6" s="1">
        <v>10</v>
      </c>
      <c r="B6" s="1">
        <v>0.343856656983419</v>
      </c>
    </row>
    <row r="7" spans="1:2" x14ac:dyDescent="0.45">
      <c r="A7" s="1">
        <v>11</v>
      </c>
      <c r="B7" s="1">
        <v>0.54379439942389296</v>
      </c>
    </row>
    <row r="8" spans="1:2" x14ac:dyDescent="0.45">
      <c r="A8" s="1">
        <v>12</v>
      </c>
      <c r="B8" s="1">
        <v>0.65853325816599995</v>
      </c>
    </row>
    <row r="9" spans="1:2" x14ac:dyDescent="0.45">
      <c r="A9" s="1">
        <v>14</v>
      </c>
      <c r="B9" s="1">
        <v>0.46324643375522001</v>
      </c>
    </row>
    <row r="10" spans="1:2" x14ac:dyDescent="0.45">
      <c r="A10" s="1">
        <v>15</v>
      </c>
      <c r="B10" s="1">
        <v>0.6365814949452</v>
      </c>
    </row>
    <row r="11" spans="1:2" x14ac:dyDescent="0.45">
      <c r="A11" s="1">
        <v>16</v>
      </c>
      <c r="B11" s="1">
        <v>0.65112264755645</v>
      </c>
    </row>
    <row r="12" spans="1:2" x14ac:dyDescent="0.45">
      <c r="A12" s="1">
        <v>17</v>
      </c>
      <c r="B12" s="1">
        <v>0.79116753675662999</v>
      </c>
    </row>
    <row r="13" spans="1:2" x14ac:dyDescent="0.45">
      <c r="A13" s="1">
        <v>18</v>
      </c>
      <c r="B13" s="1">
        <v>0.747717449361335</v>
      </c>
    </row>
    <row r="14" spans="1:2" x14ac:dyDescent="0.45">
      <c r="A14" s="1">
        <v>20</v>
      </c>
      <c r="B14" s="1">
        <v>0.49697223362524001</v>
      </c>
    </row>
    <row r="15" spans="1:2" x14ac:dyDescent="0.45">
      <c r="A15" s="1">
        <v>21</v>
      </c>
      <c r="B15" s="1">
        <v>0.68736522711639603</v>
      </c>
    </row>
    <row r="16" spans="1:2" x14ac:dyDescent="0.45">
      <c r="A16" s="1">
        <v>22</v>
      </c>
      <c r="B16" s="1">
        <v>0.73938438729814904</v>
      </c>
    </row>
    <row r="17" spans="1:2" x14ac:dyDescent="0.45">
      <c r="A17" s="1">
        <v>23</v>
      </c>
      <c r="B17" s="1">
        <v>0.99653369869893005</v>
      </c>
    </row>
    <row r="18" spans="1:2" x14ac:dyDescent="0.45">
      <c r="A18" s="1">
        <v>24</v>
      </c>
      <c r="B18" s="1">
        <v>0.99859654247576002</v>
      </c>
    </row>
    <row r="19" spans="1:2" x14ac:dyDescent="0.45">
      <c r="A19" s="1">
        <v>27</v>
      </c>
      <c r="B19" s="1">
        <v>0.31767949933494</v>
      </c>
    </row>
    <row r="20" spans="1:2" x14ac:dyDescent="0.45">
      <c r="A20" s="1">
        <v>28</v>
      </c>
      <c r="B20" s="1">
        <v>0.49223231533148498</v>
      </c>
    </row>
    <row r="21" spans="1:2" x14ac:dyDescent="0.45">
      <c r="A21" s="3">
        <v>29</v>
      </c>
      <c r="B21" s="3">
        <f>(1-31.1166/100)^3</f>
        <v>0.32684641489567762</v>
      </c>
    </row>
    <row r="22" spans="1:2" x14ac:dyDescent="0.45">
      <c r="A22" s="1">
        <v>32</v>
      </c>
      <c r="B22" s="1">
        <v>0.32249782667873</v>
      </c>
    </row>
    <row r="23" spans="1:2" x14ac:dyDescent="0.45">
      <c r="A23" s="1">
        <v>33</v>
      </c>
      <c r="B23" s="1">
        <v>0.319561953988729</v>
      </c>
    </row>
    <row r="24" spans="1:2" x14ac:dyDescent="0.45">
      <c r="A24" s="1">
        <v>34</v>
      </c>
      <c r="B24" s="1">
        <v>0.37756981931192501</v>
      </c>
    </row>
    <row r="25" spans="1:2" x14ac:dyDescent="0.45">
      <c r="A25" s="1">
        <v>35</v>
      </c>
      <c r="B25" s="1">
        <v>0.49284289783969998</v>
      </c>
    </row>
    <row r="26" spans="1:2" x14ac:dyDescent="0.45">
      <c r="A26" s="1">
        <v>37</v>
      </c>
      <c r="B26" s="1">
        <v>0.19652626791739999</v>
      </c>
    </row>
    <row r="27" spans="1:2" x14ac:dyDescent="0.45">
      <c r="A27" s="1">
        <v>38</v>
      </c>
      <c r="B27" s="1">
        <v>0.63521233567699997</v>
      </c>
    </row>
    <row r="28" spans="1:2" x14ac:dyDescent="0.45">
      <c r="A28" s="1">
        <v>40</v>
      </c>
      <c r="B28" s="1">
        <v>0.61286328198530005</v>
      </c>
    </row>
    <row r="29" spans="1:2" x14ac:dyDescent="0.45">
      <c r="A29" s="1">
        <v>41</v>
      </c>
      <c r="B29" s="1">
        <v>0.69418465356600001</v>
      </c>
    </row>
    <row r="30" spans="1:2" x14ac:dyDescent="0.45">
      <c r="A30" s="1">
        <v>42</v>
      </c>
      <c r="B30" s="1">
        <v>0.53526613136757994</v>
      </c>
    </row>
    <row r="31" spans="1:2" x14ac:dyDescent="0.45">
      <c r="A31" s="1">
        <v>43</v>
      </c>
      <c r="B31" s="1">
        <v>0.64934384421810998</v>
      </c>
    </row>
    <row r="32" spans="1:2" x14ac:dyDescent="0.45">
      <c r="A32" s="1">
        <v>44</v>
      </c>
      <c r="B32" s="1">
        <v>0.36687417168699998</v>
      </c>
    </row>
    <row r="33" spans="1:3" x14ac:dyDescent="0.45">
      <c r="A33" s="1">
        <v>45</v>
      </c>
      <c r="B33" s="1">
        <v>0.82766627188345199</v>
      </c>
    </row>
    <row r="34" spans="1:3" x14ac:dyDescent="0.45">
      <c r="A34" s="1">
        <v>46</v>
      </c>
      <c r="C34" s="1" t="s">
        <v>619</v>
      </c>
    </row>
    <row r="35" spans="1:3" x14ac:dyDescent="0.45">
      <c r="A35" s="1">
        <v>51</v>
      </c>
      <c r="C35" s="1" t="s">
        <v>618</v>
      </c>
    </row>
    <row r="36" spans="1:3" x14ac:dyDescent="0.45">
      <c r="A36" s="1">
        <v>52</v>
      </c>
      <c r="C36" s="1" t="s">
        <v>618</v>
      </c>
    </row>
    <row r="37" spans="1:3" x14ac:dyDescent="0.45">
      <c r="A37" s="1">
        <v>53</v>
      </c>
      <c r="C37" s="1" t="s">
        <v>618</v>
      </c>
    </row>
    <row r="38" spans="1:3" x14ac:dyDescent="0.45">
      <c r="A38" s="1">
        <v>54</v>
      </c>
      <c r="C38" s="1" t="s">
        <v>620</v>
      </c>
    </row>
    <row r="39" spans="1:3" x14ac:dyDescent="0.45">
      <c r="A39" s="1">
        <v>56</v>
      </c>
      <c r="B39" s="1">
        <v>0.71246193656491097</v>
      </c>
    </row>
    <row r="40" spans="1:3" x14ac:dyDescent="0.45">
      <c r="A40" s="1">
        <v>58</v>
      </c>
      <c r="B40" s="1">
        <v>0.23667644666998</v>
      </c>
    </row>
    <row r="41" spans="1:3" x14ac:dyDescent="0.45">
      <c r="A41" s="1">
        <v>59</v>
      </c>
      <c r="B41" s="1">
        <v>0.29358483715421002</v>
      </c>
    </row>
    <row r="42" spans="1:3" x14ac:dyDescent="0.45">
      <c r="A42" s="1">
        <v>62</v>
      </c>
      <c r="B42" s="1">
        <v>0.92236271371300005</v>
      </c>
    </row>
    <row r="43" spans="1:3" x14ac:dyDescent="0.45">
      <c r="A43" s="1">
        <v>63</v>
      </c>
      <c r="B43" s="1">
        <v>0.87154441915718894</v>
      </c>
    </row>
    <row r="44" spans="1:3" ht="31.2" customHeight="1" x14ac:dyDescent="0.45">
      <c r="A44" s="5">
        <v>64</v>
      </c>
      <c r="B44" s="5"/>
      <c r="C44" s="6" t="s">
        <v>621</v>
      </c>
    </row>
    <row r="45" spans="1:3" x14ac:dyDescent="0.45">
      <c r="A45" s="1">
        <v>66</v>
      </c>
      <c r="B45" s="1">
        <v>0.8237304490814481</v>
      </c>
    </row>
    <row r="46" spans="1:3" x14ac:dyDescent="0.45">
      <c r="A46" s="1">
        <v>67</v>
      </c>
      <c r="B46" s="1">
        <v>0.83855850113226182</v>
      </c>
    </row>
    <row r="47" spans="1:3" x14ac:dyDescent="0.45">
      <c r="A47" s="1">
        <v>70</v>
      </c>
      <c r="B47" s="1">
        <v>0.61538841495100005</v>
      </c>
    </row>
    <row r="48" spans="1:3" x14ac:dyDescent="0.45">
      <c r="A48" s="1">
        <v>71</v>
      </c>
      <c r="B48" s="1">
        <v>0.49645197285749998</v>
      </c>
    </row>
    <row r="49" spans="1:3" x14ac:dyDescent="0.45">
      <c r="A49" s="1">
        <v>73</v>
      </c>
      <c r="B49" s="1">
        <v>0.87263395849753</v>
      </c>
    </row>
    <row r="50" spans="1:3" x14ac:dyDescent="0.45">
      <c r="A50" s="1">
        <v>74</v>
      </c>
      <c r="B50" s="1">
        <v>0.64781166731926998</v>
      </c>
    </row>
    <row r="51" spans="1:3" x14ac:dyDescent="0.45">
      <c r="A51" s="1">
        <v>75</v>
      </c>
      <c r="B51" s="1">
        <v>0.34573745562891001</v>
      </c>
    </row>
    <row r="52" spans="1:3" x14ac:dyDescent="0.45">
      <c r="A52" s="1">
        <v>77</v>
      </c>
      <c r="B52" s="1">
        <v>0.79596227557971599</v>
      </c>
    </row>
    <row r="53" spans="1:3" x14ac:dyDescent="0.45">
      <c r="A53" s="1">
        <v>78</v>
      </c>
      <c r="B53" s="1">
        <v>0.67918589578662703</v>
      </c>
    </row>
    <row r="54" spans="1:3" x14ac:dyDescent="0.45">
      <c r="A54" s="3">
        <v>79</v>
      </c>
      <c r="B54" s="3">
        <f>(1-10.0992/100)^3</f>
        <v>0.72659209599660857</v>
      </c>
    </row>
    <row r="55" spans="1:3" x14ac:dyDescent="0.45">
      <c r="A55" s="1">
        <v>80</v>
      </c>
      <c r="B55" s="1">
        <v>0.79794427599352002</v>
      </c>
    </row>
    <row r="56" spans="1:3" x14ac:dyDescent="0.45">
      <c r="A56" s="1">
        <v>83</v>
      </c>
      <c r="B56" s="1">
        <v>0.532371491212</v>
      </c>
    </row>
    <row r="57" spans="1:3" x14ac:dyDescent="0.45">
      <c r="A57" s="1">
        <v>84</v>
      </c>
      <c r="B57" s="1">
        <v>0.91422988962817198</v>
      </c>
    </row>
    <row r="58" spans="1:3" x14ac:dyDescent="0.45">
      <c r="A58" s="3">
        <v>85</v>
      </c>
      <c r="B58" s="3">
        <f>(1-37.298/100)^3</f>
        <v>0.24651547149240788</v>
      </c>
    </row>
    <row r="59" spans="1:3" ht="27.6" x14ac:dyDescent="0.45">
      <c r="A59" s="5">
        <v>88</v>
      </c>
      <c r="B59" s="5"/>
      <c r="C59" s="6" t="s">
        <v>622</v>
      </c>
    </row>
    <row r="60" spans="1:3" ht="41.4" x14ac:dyDescent="0.45">
      <c r="A60" s="5">
        <v>89</v>
      </c>
      <c r="B60" s="5"/>
      <c r="C60" s="6" t="s">
        <v>623</v>
      </c>
    </row>
    <row r="61" spans="1:3" x14ac:dyDescent="0.45">
      <c r="A61" s="1">
        <v>91</v>
      </c>
      <c r="C61" s="1" t="s">
        <v>624</v>
      </c>
    </row>
    <row r="62" spans="1:3" x14ac:dyDescent="0.45">
      <c r="A62" s="1">
        <v>92</v>
      </c>
      <c r="C62" s="1" t="s">
        <v>624</v>
      </c>
    </row>
    <row r="63" spans="1:3" x14ac:dyDescent="0.45">
      <c r="A63" s="1">
        <v>93</v>
      </c>
      <c r="C63" s="1" t="s">
        <v>624</v>
      </c>
    </row>
    <row r="64" spans="1:3" x14ac:dyDescent="0.45">
      <c r="A64" s="1">
        <v>94</v>
      </c>
      <c r="B64" s="1">
        <v>0.77471724756632399</v>
      </c>
    </row>
    <row r="65" spans="1:3" x14ac:dyDescent="0.45">
      <c r="A65" s="1">
        <v>97</v>
      </c>
      <c r="B65" s="1">
        <v>0.29186135992329998</v>
      </c>
    </row>
    <row r="66" spans="1:3" x14ac:dyDescent="0.45">
      <c r="A66" s="1">
        <v>98</v>
      </c>
      <c r="B66" s="1">
        <v>0.88174997451689996</v>
      </c>
    </row>
    <row r="67" spans="1:3" x14ac:dyDescent="0.45">
      <c r="A67" s="1">
        <v>99</v>
      </c>
      <c r="C67" s="1" t="s">
        <v>625</v>
      </c>
    </row>
    <row r="68" spans="1:3" x14ac:dyDescent="0.45">
      <c r="A68" s="1">
        <v>101</v>
      </c>
      <c r="B68" s="1">
        <v>0.83384862916880997</v>
      </c>
    </row>
    <row r="69" spans="1:3" x14ac:dyDescent="0.45">
      <c r="A69" s="1">
        <v>102</v>
      </c>
      <c r="B69" s="1">
        <v>0.86697823786999995</v>
      </c>
    </row>
    <row r="70" spans="1:3" x14ac:dyDescent="0.45">
      <c r="A70" s="1">
        <v>103</v>
      </c>
      <c r="B70" s="1">
        <v>0.74961929426714002</v>
      </c>
    </row>
    <row r="71" spans="1:3" x14ac:dyDescent="0.45">
      <c r="A71" s="1">
        <v>104</v>
      </c>
      <c r="B71" s="1">
        <v>0.84921589594747005</v>
      </c>
    </row>
    <row r="72" spans="1:3" x14ac:dyDescent="0.45">
      <c r="A72" s="1">
        <v>105</v>
      </c>
      <c r="B72" s="1">
        <v>0.96352873877959999</v>
      </c>
    </row>
    <row r="73" spans="1:3" x14ac:dyDescent="0.45">
      <c r="A73" s="1">
        <v>106</v>
      </c>
      <c r="B73" s="1">
        <v>0.91946184622929605</v>
      </c>
    </row>
    <row r="74" spans="1:3" x14ac:dyDescent="0.45">
      <c r="A74" s="1">
        <v>107</v>
      </c>
      <c r="B74" s="1">
        <v>0.81228376243400002</v>
      </c>
    </row>
    <row r="75" spans="1:3" ht="41.4" x14ac:dyDescent="0.45">
      <c r="A75" s="1">
        <v>109</v>
      </c>
      <c r="C75" s="4" t="s">
        <v>626</v>
      </c>
    </row>
    <row r="76" spans="1:3" x14ac:dyDescent="0.45">
      <c r="A76" s="1">
        <v>110</v>
      </c>
      <c r="C76" s="1" t="s">
        <v>619</v>
      </c>
    </row>
    <row r="77" spans="1:3" ht="151.80000000000001" x14ac:dyDescent="0.45">
      <c r="A77" s="1">
        <v>111</v>
      </c>
      <c r="C77" s="4" t="s">
        <v>627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(1) NIPA and Name</vt:lpstr>
      <vt:lpstr>(2) ELI and NIPA</vt:lpstr>
      <vt:lpstr>(3) NIPA stikciness (by MATLAB)</vt:lpstr>
      <vt:lpstr>(4) NIPA all freq stickiness</vt:lpstr>
      <vt:lpstr>(5) freq stickiness for BEA</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蓮井 康平</dc:creator>
  <cp:lastModifiedBy>蓮井 康平</cp:lastModifiedBy>
  <dcterms:created xsi:type="dcterms:W3CDTF">2024-06-07T09:13:27Z</dcterms:created>
  <dcterms:modified xsi:type="dcterms:W3CDTF">2024-08-08T05:11:08Z</dcterms:modified>
</cp:coreProperties>
</file>